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urchases" sheetId="2" state="visible" r:id="rId4"/>
    <sheet name="UOB SGD" sheetId="3" state="visible" r:id="rId5"/>
    <sheet name="UOB USD" sheetId="4" state="visible" r:id="rId6"/>
    <sheet name="Wise EUR" sheetId="5" state="visible" r:id="rId7"/>
    <sheet name="Wise USD" sheetId="6" state="visible" r:id="rId8"/>
    <sheet name="Adjusting Entries" sheetId="7" state="visible" r:id="rId9"/>
  </sheets>
  <definedNames>
    <definedName function="false" hidden="true" localSheetId="2" name="_xlnm._FilterDatabase" vbProcedure="false">'UOB SGD'!$A$5:$N$63</definedName>
    <definedName function="false" hidden="true" localSheetId="3" name="_xlnm._FilterDatabase" vbProcedure="false">'UOB USD'!$A$5:$N$23</definedName>
    <definedName function="false" hidden="true" localSheetId="4" name="_xlnm._FilterDatabase" vbProcedure="false">'Wise EUR'!$A$5:$N$152</definedName>
    <definedName function="false" hidden="true" localSheetId="5" name="_xlnm._FilterDatabase" vbProcedure="false">'Wise USD'!$A$5:$N$40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<sst xmlns="http://schemas.openxmlformats.org/spreadsheetml/2006/main" count="2757" uniqueCount="1107">
  <si>
    <t xml:space="preserve">SALES 2026 (Jan-Sep) - Samai Distillery Cambodia Pte. Ltd.</t>
  </si>
  <si>
    <t xml:space="preserve">Xero base currency = USD (2025 TB is in USD). Enter each invoice in its own currency (EUR); Xero converts. Product columns = line items for Xero (300.01 Gold / 300.02 White / 300.03 Kampot / 300.00 other).</t>
  </si>
  <si>
    <t xml:space="preserve">Every invoice amount below was re-added line by line from the PDF (qty x unit price) - see "Check" column (must be 0). Collected amounts are taken from the Wise EUR statement, matched by amount and the customer's payment reference.</t>
  </si>
  <si>
    <t xml:space="preserve">RED = sales invoice not provided (cash received, invoice needed before booking)  |  GREEN = collected  |  AMBER = open / to check</t>
  </si>
  <si>
    <t xml:space="preserve">#</t>
  </si>
  <si>
    <t xml:space="preserve">Invoice Date</t>
  </si>
  <si>
    <t xml:space="preserve">Invoice No.</t>
  </si>
  <si>
    <t xml:space="preserve">Customer</t>
  </si>
  <si>
    <t xml:space="preserve">Supporting Document</t>
  </si>
  <si>
    <t xml:space="preserve">Currency</t>
  </si>
  <si>
    <t xml:space="preserve">Invoice Amount</t>
  </si>
  <si>
    <t xml:space="preserve">300.01 Gold Rum</t>
  </si>
  <si>
    <t xml:space="preserve">300.02 White Rum</t>
  </si>
  <si>
    <t xml:space="preserve">300.03 Kampot Pepper Rum</t>
  </si>
  <si>
    <t xml:space="preserve">300.00 Other / not itemised</t>
  </si>
  <si>
    <t xml:space="preserve">Check (should be 0)</t>
  </si>
  <si>
    <t xml:space="preserve">Amount Collected</t>
  </si>
  <si>
    <t xml:space="preserve">Collected Currency</t>
  </si>
  <si>
    <t xml:space="preserve">Bank Account</t>
  </si>
  <si>
    <t xml:space="preserve">Date Collected</t>
  </si>
  <si>
    <t xml:space="preserve">Bank Reference</t>
  </si>
  <si>
    <t xml:space="preserve">Outstanding</t>
  </si>
  <si>
    <t xml:space="preserve">Status</t>
  </si>
  <si>
    <t xml:space="preserve">Remarks</t>
  </si>
  <si>
    <t xml:space="preserve">S01</t>
  </si>
  <si>
    <t xml:space="preserve">2025-11-002</t>
  </si>
  <si>
    <t xml:space="preserve">Bemakers ApS (Denmark)</t>
  </si>
  <si>
    <t xml:space="preserve">1. JAN/Sale Invoices/Samai LMDW 26 01.pdf (page 2)</t>
  </si>
  <si>
    <t xml:space="preserve">EUR</t>
  </si>
  <si>
    <t xml:space="preserve">n/a (2025)</t>
  </si>
  <si>
    <t xml:space="preserve">PRIOR YEAR - CHECK</t>
  </si>
  <si>
    <t xml:space="preserve">2025 invoice (date printed "31/11/2025" - invalid date). Do NOT book as 2026 sale. Check it is in the 31-Dec-2025 AR (USD 9,914.56). No direct payment seen in 2026 - Bemakers settles via its monthly statement; Feb-26 "payments for orders" EUR 5,790.98 may relate to this - confirm to avoid double-counting. Note: Kampot line 351 x 14.98 = 5,257.98 but invoice shows 5,259.21 (unit price rounded on PDF); total EUR 7,354.53 is as printed. "Other" = Single Barrel French Oak 65.2% (12 btl).</t>
  </si>
  <si>
    <t xml:space="preserve">S02</t>
  </si>
  <si>
    <t xml:space="preserve">2026-01-001</t>
  </si>
  <si>
    <t xml:space="preserve">La Maison du Whisky (SNPA)</t>
  </si>
  <si>
    <t xml:space="preserve">1. JAN/Sale Invoices/Samai LMDW 26 01.pdf (page 1)</t>
  </si>
  <si>
    <t xml:space="preserve">Wise EUR 3462</t>
  </si>
  <si>
    <t xml:space="preserve">TRANSFER-2054777021</t>
  </si>
  <si>
    <t xml:space="preserve">COLLECTED</t>
  </si>
  <si>
    <t xml:space="preserve">PO 1034840. Paid together with 2026-02-001 (EUR 1,554.66 = 866.03 + 688.63). Gold 3x21.00 + 6x15.21; White 1x16.46; Kampot 27x23.83 + 3x17.30.</t>
  </si>
  <si>
    <t xml:space="preserve">S03</t>
  </si>
  <si>
    <t xml:space="preserve">2026-02-001</t>
  </si>
  <si>
    <t xml:space="preserve">2. FEB/Sale Invoices/Samai LMDW 02.pdf</t>
  </si>
  <si>
    <t xml:space="preserve">PO 1035253. Gold 3x21.00 + 12x15.21; White 1x16.46; Kampot 15x23.83 + 4x17.30.</t>
  </si>
  <si>
    <t xml:space="preserve">S04</t>
  </si>
  <si>
    <t xml:space="preserve">2026-03-001</t>
  </si>
  <si>
    <t xml:space="preserve">3. MAR/Sale Invoices/SAMAI LMDW 03.pdf</t>
  </si>
  <si>
    <t xml:space="preserve">TRANSFER-2102737990</t>
  </si>
  <si>
    <t xml:space="preserve">PO 1035718. Gold 2x21.00 + 12x15.21; White 4x12.00; Kampot 26x23.83 + 14x17.30.</t>
  </si>
  <si>
    <t xml:space="preserve">S05</t>
  </si>
  <si>
    <t xml:space="preserve">2026-04-001</t>
  </si>
  <si>
    <t xml:space="preserve">4. APR/Sale Invoices/Samai LMDW 04.pdf</t>
  </si>
  <si>
    <t xml:space="preserve">TRANSFER-2169877305</t>
  </si>
  <si>
    <t xml:space="preserve">PO 1036217. Gold 3x21.00 + 6x15.21; White 1x16.46; Kampot 15x23.83.</t>
  </si>
  <si>
    <t xml:space="preserve">S06</t>
  </si>
  <si>
    <t xml:space="preserve">n/a</t>
  </si>
  <si>
    <t xml:space="preserve">2026-04-001 (per payment ref)</t>
  </si>
  <si>
    <t xml:space="preserve">Rum-Exchange Trading Company e.U.</t>
  </si>
  <si>
    <t xml:space="preserve">NOT PROVIDED</t>
  </si>
  <si>
    <t xml:space="preserve">TRANSFER-2092145496</t>
  </si>
  <si>
    <t xml:space="preserve">MISSING INVOICE</t>
  </si>
  <si>
    <t xml:space="preserve">Amount = cash received. Invoice no. quoted is the same as the LMDW April invoice - confirm numbering and get the invoice (products/qty).</t>
  </si>
  <si>
    <t xml:space="preserve">S07</t>
  </si>
  <si>
    <t xml:space="preserve">Ref FAF0126060706</t>
  </si>
  <si>
    <t xml:space="preserve">TRANSFER-2220164344</t>
  </si>
  <si>
    <t xml:space="preserve">LMDW paid with its own reference only - probably the May-2026 invoice (2026-05-001). Get invoice.</t>
  </si>
  <si>
    <t xml:space="preserve">S08</t>
  </si>
  <si>
    <t xml:space="preserve">2026-06-001 (per payment ref)</t>
  </si>
  <si>
    <t xml:space="preserve">TRANSFER-2248456742</t>
  </si>
  <si>
    <t xml:space="preserve">Get invoice.</t>
  </si>
  <si>
    <t xml:space="preserve">S09</t>
  </si>
  <si>
    <t xml:space="preserve">Tobias Boerger</t>
  </si>
  <si>
    <t xml:space="preserve">TRANSFER-2265539851</t>
  </si>
  <si>
    <t xml:space="preserve">Same invoice no. as LMDW 14/07 receipt - two customers cannot share one number. Get invoice &amp; confirm numbering.</t>
  </si>
  <si>
    <t xml:space="preserve">S10</t>
  </si>
  <si>
    <t xml:space="preserve">2026-06-002 (per payment ref)</t>
  </si>
  <si>
    <t xml:space="preserve">VEIS Dystrybucja Sp. z o.o. (Poland)</t>
  </si>
  <si>
    <t xml:space="preserve">TRANSFER-2303550139</t>
  </si>
  <si>
    <t xml:space="preserve">S11</t>
  </si>
  <si>
    <t xml:space="preserve">2026-07-001 (per payment ref)</t>
  </si>
  <si>
    <t xml:space="preserve">TRANSFER-2341495741</t>
  </si>
  <si>
    <t xml:space="preserve">S12</t>
  </si>
  <si>
    <t xml:space="preserve">Ref FAF0126090427</t>
  </si>
  <si>
    <t xml:space="preserve">TRANSFER-2401228972</t>
  </si>
  <si>
    <t xml:space="preserve">Probably Aug-2026 invoice. Get invoice.</t>
  </si>
  <si>
    <t xml:space="preserve">BEMAKERS ApS - marketplace sales (Denmark/Spain). Bemakers sells on Samai's behalf and nets its monthly service invoices (Purchase tab) against order payments; only the net balance is paid out / charged. Source: monthly Bemakers "Financial Statement" PDFs in the Expense Invoices folders.</t>
  </si>
  <si>
    <t xml:space="preserve">B01</t>
  </si>
  <si>
    <t xml:space="preserve">STL-6384</t>
  </si>
  <si>
    <t xml:space="preserve">Bemakers ApS</t>
  </si>
  <si>
    <t xml:space="preserve">1. JAN/Expense Invoices/statement_2026-01_STL-6384.pdf</t>
  </si>
  <si>
    <t xml:space="preserve">Wise EUR 3462 (net payout)</t>
  </si>
  <si>
    <t xml:space="preserve">TRANSFER-2012464784</t>
  </si>
  <si>
    <t xml:space="preserve">SETTLED (net payout)</t>
  </si>
  <si>
    <t xml:space="preserve">Payments for orders - VAT entity DK. Settled inside "Payout - February 2026" EUR 3,398.22 (Wise EUR 09/03).</t>
  </si>
  <si>
    <t xml:space="preserve">B02</t>
  </si>
  <si>
    <t xml:space="preserve">Payments for orders - VAT entity ES. As above.</t>
  </si>
  <si>
    <t xml:space="preserve">B03</t>
  </si>
  <si>
    <t xml:space="preserve">STL-6536</t>
  </si>
  <si>
    <t xml:space="preserve">2. FEB/Expense Invoices/statement_2026-02_STL-6536.pdf</t>
  </si>
  <si>
    <t xml:space="preserve">Payments for orders - VAT entity DK. Payout EUR 3,398.22 = opening -1,805.90 + 24.87 + 16.89 - 379.52 (SVC-48440) + 5,790.98 - 249.10 (SVC-49823). See S01 note (possible link to 2025-11-002).</t>
  </si>
  <si>
    <t xml:space="preserve">B04</t>
  </si>
  <si>
    <t xml:space="preserve">STL-6685</t>
  </si>
  <si>
    <t xml:space="preserve">3. MAR/Expense Invoices/statement_2026-03_STL-6685.pdf</t>
  </si>
  <si>
    <t xml:space="preserve">TRANSFER-2069755297</t>
  </si>
  <si>
    <t xml:space="preserve">Payments for orders - VAT entity DK. Payout - March 2026 EUR 6,309.66 = 6,561.58 - 251.92 (SVC-51751).</t>
  </si>
  <si>
    <t xml:space="preserve">B05</t>
  </si>
  <si>
    <t xml:space="preserve">STL-6834</t>
  </si>
  <si>
    <t xml:space="preserve">4. APR/Expense Invoices/statement_2026-04_STL-6834.pdf</t>
  </si>
  <si>
    <t xml:space="preserve">Offset in Bemakers statement</t>
  </si>
  <si>
    <t xml:space="preserve">OFFSET vs Bemakers fees</t>
  </si>
  <si>
    <t xml:space="preserve">Payments for orders - VAT entity DK. No cash - netted against SVC-53282 (Purchase P29). From April the Bemakers balance is owed BY Samai (EUR -1,337.54 at 31-Aug). No card charge seen in any statement yet.</t>
  </si>
  <si>
    <t xml:space="preserve">B06</t>
  </si>
  <si>
    <t xml:space="preserve">STL-6978</t>
  </si>
  <si>
    <t xml:space="preserve">5. MAY/Expense Invoices/statement_2026-05_STL-6978.pdf</t>
  </si>
  <si>
    <t xml:space="preserve">OPEN - owed to Bemakers</t>
  </si>
  <si>
    <t xml:space="preserve">Payments for orders - VAT entity DK (negative). Negative = refund/adjustment -&gt; credit note (adds to Bemakers balance owed).</t>
  </si>
  <si>
    <t xml:space="preserve">B07</t>
  </si>
  <si>
    <t xml:space="preserve">STL-7152</t>
  </si>
  <si>
    <t xml:space="preserve">6. JUN/Expense Invoices/statement_2026-06_STL-7152.pdf</t>
  </si>
  <si>
    <t xml:space="preserve">Payments for orders - VAT entity DK. Netted against SVC-57828 (Purchase P37).</t>
  </si>
  <si>
    <t xml:space="preserve">B08</t>
  </si>
  <si>
    <t xml:space="preserve">STL-7293</t>
  </si>
  <si>
    <t xml:space="preserve">7. JUL/Expense Invoices/statement_2026-07_STL-7293.pdf</t>
  </si>
  <si>
    <t xml:space="preserve">Payments for orders - VAT entity DK (negative). Negative -&gt; credit note (adds to Bemakers balance owed).</t>
  </si>
  <si>
    <t xml:space="preserve">B09</t>
  </si>
  <si>
    <t xml:space="preserve">Payments for orders - VAT entity ES (negative). Negative -&gt; credit note (adds to Bemakers balance owed).</t>
  </si>
  <si>
    <t xml:space="preserve">B10</t>
  </si>
  <si>
    <t xml:space="preserve">STL-7429</t>
  </si>
  <si>
    <t xml:space="preserve">8. AUG/Expense Invoice/statement_2026-08_STL-7429.pdf</t>
  </si>
  <si>
    <t xml:space="preserve">Payments for orders - VAT entity DK (negative). Negative -&gt; credit note. Sep-2026 Bemakers statement not provided.</t>
  </si>
  <si>
    <t xml:space="preserve">TOTALS (EUR) - 2026 sales only</t>
  </si>
  <si>
    <t xml:space="preserve">Excludes S01 (2025 invoice). Prior-year receipt not listed above: LMDW invoice 2025-12-001 EUR 2,820.34 received 15-Jan-2026 (TRANSFER-1921143232) -&gt; apply to 31-Dec-2025 AR.</t>
  </si>
  <si>
    <t xml:space="preserve">PURCHASES / EXPENSE INVOICES 2026 (Jan-Sep) - Samai Distillery Cambodia Pte. Ltd.</t>
  </si>
  <si>
    <t xml:space="preserve">Invoice amounts typed from each PDF (totals re-checked against line items). "Settled (inv. currency)" = amount of the invoice cleared; "Paid (bank currency)" = what actually left the bank. Company is not GST-registered: book foreign GST/VAT shown on invoices as part of the cost (tax rate "No Tax").</t>
  </si>
  <si>
    <t xml:space="preserve">Xero tip: a bill can only be paid from a bank account in the bill currency or USD (base). EUR bills paid from Wise USD are fine; USD/SGD invoices paid from Wise EUR or UOB SGD -&gt; book as Spend Money in the bank currency (amount debited), coded to the account shown, invoice attached.</t>
  </si>
  <si>
    <t xml:space="preserve">RED = unpaid / not SG company / issue  |  GREEN = paid &amp; matched  |  GREY = no cash effect</t>
  </si>
  <si>
    <t xml:space="preserve">Supplier</t>
  </si>
  <si>
    <t xml:space="preserve">Description</t>
  </si>
  <si>
    <t xml:space="preserve">Tax shown on invoice (incl. in amount)</t>
  </si>
  <si>
    <t xml:space="preserve">Credit / Adjustment</t>
  </si>
  <si>
    <t xml:space="preserve">Proposed Account</t>
  </si>
  <si>
    <t xml:space="preserve">Paid (bank currency)</t>
  </si>
  <si>
    <t xml:space="preserve">Bank Currency</t>
  </si>
  <si>
    <t xml:space="preserve">Paid From</t>
  </si>
  <si>
    <t xml:space="preserve">Date Paid</t>
  </si>
  <si>
    <t xml:space="preserve">Settled (inv. currency)</t>
  </si>
  <si>
    <t xml:space="preserve">P01</t>
  </si>
  <si>
    <t xml:space="preserve">FIVE x 5 (Dx5)</t>
  </si>
  <si>
    <t xml:space="preserve">#34076</t>
  </si>
  <si>
    <t xml:space="preserve">Dx5 Tier 2 software + QBO integration, Jan-26</t>
  </si>
  <si>
    <t xml:space="preserve">1. JAN/Expense Invoices/invoice_#34076.pdf</t>
  </si>
  <si>
    <t xml:space="preserve">USD</t>
  </si>
  <si>
    <t xml:space="preserve">6650 - Software Subscription</t>
  </si>
  <si>
    <t xml:space="preserve">SGD</t>
  </si>
  <si>
    <t xml:space="preserve">UOB SGD 794</t>
  </si>
  <si>
    <t xml:space="preserve">Card 4499 / 4634644</t>
  </si>
  <si>
    <t xml:space="preserve">PAID</t>
  </si>
  <si>
    <t xml:space="preserve">P02</t>
  </si>
  <si>
    <t xml:space="preserve">Uber (HK)</t>
  </si>
  <si>
    <t xml:space="preserve">Receipt</t>
  </si>
  <si>
    <t xml:space="preserve">Taxi - Daniel, visit HK distributor (HK$59.17 + HK$16.00 booking)</t>
  </si>
  <si>
    <t xml:space="preserve">1. JAN/Expense Invoices/Daniel_s Taxis.../Screenshot 3.21.09 PM.png</t>
  </si>
  <si>
    <t xml:space="preserve">HKD</t>
  </si>
  <si>
    <t xml:space="preserve">6700 - Travel &amp; Entertainment</t>
  </si>
  <si>
    <t xml:space="preserve">CARD-3315170028</t>
  </si>
  <si>
    <t xml:space="preserve">Receipt screenshot only.</t>
  </si>
  <si>
    <t xml:space="preserve">P03</t>
  </si>
  <si>
    <t xml:space="preserve">Taxi - Daniel, visit HK distributor (HK$56.00 + HK$16.00 booking)</t>
  </si>
  <si>
    <t xml:space="preserve">1. JAN/Expense Invoices/Daniel_s Taxis.../Screenshot 3.20.24 PM.png</t>
  </si>
  <si>
    <t xml:space="preserve">CARD-3316214411</t>
  </si>
  <si>
    <t xml:space="preserve">Bank date 06-Jan (Wise statement in GMT+1).</t>
  </si>
  <si>
    <t xml:space="preserve">P04</t>
  </si>
  <si>
    <t xml:space="preserve">Asana, Inc.</t>
  </si>
  <si>
    <t xml:space="preserve">INV04888916</t>
  </si>
  <si>
    <t xml:space="preserve">Asana Starter x20, 20-Jan to 19-Feb-26</t>
  </si>
  <si>
    <t xml:space="preserve">1. JAN/Expense Invoices/8a12855f9bc6631b019bdb8362014c78.pdf</t>
  </si>
  <si>
    <t xml:space="preserve">CARD-3368007899</t>
  </si>
  <si>
    <t xml:space="preserve">Subtotal 269.80 + SG GST 9% 24.28.</t>
  </si>
  <si>
    <t xml:space="preserve">P05</t>
  </si>
  <si>
    <t xml:space="preserve">Hellmann Worldwide Logistics</t>
  </si>
  <si>
    <t xml:space="preserve">4769331</t>
  </si>
  <si>
    <t xml:space="preserve">Freight - samples to Lelievre, Antwerp (shipment 74555376)</t>
  </si>
  <si>
    <t xml:space="preserve">1. JAN/Expense Invoices/Rechnungen_4769331 (1).pdf</t>
  </si>
  <si>
    <t xml:space="preserve">418.01 - Shipping / Delivery</t>
  </si>
  <si>
    <t xml:space="preserve">TRANSFER-2126267036</t>
  </si>
  <si>
    <t xml:space="preserve">Paid in one transfer EUR 331.32 with 8105798 + 8106697. Reverse charge, no German VAT.</t>
  </si>
  <si>
    <t xml:space="preserve">P06</t>
  </si>
  <si>
    <t xml:space="preserve">8105798</t>
  </si>
  <si>
    <t xml:space="preserve">2nd delivery attempt - same Antwerp shipment</t>
  </si>
  <si>
    <t xml:space="preserve">1. JAN/Expense Invoices/Rechnungen_8105798 (1).pdf</t>
  </si>
  <si>
    <t xml:space="preserve">See P05.</t>
  </si>
  <si>
    <t xml:space="preserve">P07</t>
  </si>
  <si>
    <t xml:space="preserve">Antonio Lopez de Haro</t>
  </si>
  <si>
    <t xml:space="preserve">2026-01</t>
  </si>
  <si>
    <t xml:space="preserve">Consulting fee - Europe export, Jan-26</t>
  </si>
  <si>
    <t xml:space="preserve">1. JAN/Expense Invoices/Invoice_Samai_Antonio_January_2026 - Invoice.pdf</t>
  </si>
  <si>
    <t xml:space="preserve">6750.01 - Legal &amp; Professional Fees</t>
  </si>
  <si>
    <t xml:space="preserve">UNPAID - payment not found</t>
  </si>
  <si>
    <t xml:space="preserve">No payment to Antonio in any statement provided (Jan-Sep). Confirm if paid from another account; otherwise accounts payable.</t>
  </si>
  <si>
    <t xml:space="preserve">P08</t>
  </si>
  <si>
    <t xml:space="preserve">SVC-48440</t>
  </si>
  <si>
    <t xml:space="preserve">Subscription 149.00, storage 118.67, shipping adj. 0.15, commission adj. 100.00, pick &amp; pack adj. 11.70</t>
  </si>
  <si>
    <t xml:space="preserve">1. JAN/Expense Invoices/service_invoice_SVC-48440.pdf</t>
  </si>
  <si>
    <t xml:space="preserve">418.03 = 279.37 / 418.02 = 100.00 / 418.01 = 0.15</t>
  </si>
  <si>
    <t xml:space="preserve">Not paid separately - deducted from Bemakers payout (Sales tab B01-B03).</t>
  </si>
  <si>
    <t xml:space="preserve">P09</t>
  </si>
  <si>
    <t xml:space="preserve">#34753</t>
  </si>
  <si>
    <t xml:space="preserve">Dx5 software, Feb-26</t>
  </si>
  <si>
    <t xml:space="preserve">2. FEB/Expense Invoices/invoice_#34753.pdf</t>
  </si>
  <si>
    <t xml:space="preserve">Card 4499 / 7359233</t>
  </si>
  <si>
    <t xml:space="preserve">P10</t>
  </si>
  <si>
    <t xml:space="preserve">BrewerLong PLLC</t>
  </si>
  <si>
    <t xml:space="preserve">211516</t>
  </si>
  <si>
    <t xml:space="preserve">US trademark (SAMAI logo) renewal advice</t>
  </si>
  <si>
    <t xml:space="preserve">2. FEB/Expense Invoices/bill_211516 (1).pdf</t>
  </si>
  <si>
    <t xml:space="preserve">Wise USD 1576</t>
  </si>
  <si>
    <t xml:space="preserve">CARD-3720826074</t>
  </si>
  <si>
    <t xml:space="preserve">Part of USD 279.00 card payment (card 0409) = 211516 + 211693.</t>
  </si>
  <si>
    <t xml:space="preserve">P11</t>
  </si>
  <si>
    <t xml:space="preserve">102401</t>
  </si>
  <si>
    <t xml:space="preserve">Freight - beverages to R. Wozniak, Wroclaw PL (shipment 74848713)</t>
  </si>
  <si>
    <t xml:space="preserve">2. FEB/Expense Invoices/Rechnung_102401.pdf</t>
  </si>
  <si>
    <t xml:space="preserve">TRANSFER-1969058956</t>
  </si>
  <si>
    <t xml:space="preserve">52.35 + finance cost 2.62.</t>
  </si>
  <si>
    <t xml:space="preserve">P12</t>
  </si>
  <si>
    <t xml:space="preserve">102776</t>
  </si>
  <si>
    <t xml:space="preserve">Freight - samples to International Spirits Challenge, UK (74893249)</t>
  </si>
  <si>
    <t xml:space="preserve">2. FEB/Expense Invoices/Rechnung_102776.pdf</t>
  </si>
  <si>
    <t xml:space="preserve">TRANSFER-1969014040</t>
  </si>
  <si>
    <t xml:space="preserve">73.23 + finance cost 3.66.</t>
  </si>
  <si>
    <t xml:space="preserve">P13</t>
  </si>
  <si>
    <t xml:space="preserve">8106697</t>
  </si>
  <si>
    <t xml:space="preserve">UK import VAT/duty/other levies + fees - shipment 74893249</t>
  </si>
  <si>
    <t xml:space="preserve">2. FEB/Expense Invoices/Rechnungen_8106697 (1).pdf</t>
  </si>
  <si>
    <t xml:space="preserve">DUPLICATE FILE: RDSGER553500307_8106697.pdf is the same invoice - book once only.</t>
  </si>
  <si>
    <t xml:space="preserve">P14</t>
  </si>
  <si>
    <t xml:space="preserve">INV04992613</t>
  </si>
  <si>
    <t xml:space="preserve">Asana Starter x20, 20-Feb to 19-Mar-26</t>
  </si>
  <si>
    <t xml:space="preserve">2. FEB/Expense Invoices/8a1283e79c76e24d019c7b2884801d12.pdf</t>
  </si>
  <si>
    <t xml:space="preserve">CARD-3479096103</t>
  </si>
  <si>
    <t xml:space="preserve">P15</t>
  </si>
  <si>
    <t xml:space="preserve">Anthropic, PBC</t>
  </si>
  <si>
    <t xml:space="preserve">VYHMEQOS-0001</t>
  </si>
  <si>
    <t xml:space="preserve">Claude Pro, 26-Feb to 26-Mar-26</t>
  </si>
  <si>
    <t xml:space="preserve">2. FEB/Expense Invoices/Invoice-VYHMEQOS-0001.pdf + Receipt-2465-0474-1375.pdf</t>
  </si>
  <si>
    <t xml:space="preserve">CARD-3497190494</t>
  </si>
  <si>
    <t xml:space="preserve">Invoice + receipt are the same transaction - book once.</t>
  </si>
  <si>
    <t xml:space="preserve">P16</t>
  </si>
  <si>
    <t xml:space="preserve">2026-02</t>
  </si>
  <si>
    <t xml:space="preserve">Consulting fee - Europe export, Feb-26</t>
  </si>
  <si>
    <t xml:space="preserve">2. FEB/Expense Invoices/Invoice_Samai_Antonio_February_2026 - Invoice.pdf</t>
  </si>
  <si>
    <t xml:space="preserve">See P07.</t>
  </si>
  <si>
    <t xml:space="preserve">P17</t>
  </si>
  <si>
    <t xml:space="preserve">SVC-49823</t>
  </si>
  <si>
    <t xml:space="preserve">Subscription 149.00, storage 100.10</t>
  </si>
  <si>
    <t xml:space="preserve">2. FEB/Expense Invoices/service_invoice_SVC-49823.pdf</t>
  </si>
  <si>
    <t xml:space="preserve">418.03 - Packaging &amp; Other Fees</t>
  </si>
  <si>
    <t xml:space="preserve">P18</t>
  </si>
  <si>
    <t xml:space="preserve">#35390</t>
  </si>
  <si>
    <t xml:space="preserve">Dx5 software, Mar-26</t>
  </si>
  <si>
    <t xml:space="preserve">3. MAR/Expense Invoices/invoice_#35390.pdf</t>
  </si>
  <si>
    <t xml:space="preserve">Card 4499 / 8020639</t>
  </si>
  <si>
    <t xml:space="preserve">P19</t>
  </si>
  <si>
    <t xml:space="preserve">211693</t>
  </si>
  <si>
    <t xml:space="preserve">Trademark renewal follow-up &amp; Madrid Protocol advice</t>
  </si>
  <si>
    <t xml:space="preserve">3. MAR/Expense Invoices/invoice_211693.pdf</t>
  </si>
  <si>
    <t xml:space="preserve">See P10.</t>
  </si>
  <si>
    <t xml:space="preserve">P20</t>
  </si>
  <si>
    <t xml:space="preserve">Tilleke &amp; Gibbins (Cambodia)</t>
  </si>
  <si>
    <t xml:space="preserve">61-611-26.00642</t>
  </si>
  <si>
    <t xml:space="preserve">TM "Samai Stamp" Taiwan cl.33 - fee 190.00 + foreign fee 425.42 + VAT 10% 61.54</t>
  </si>
  <si>
    <t xml:space="preserve">3. MAR/Expense Invoices/S04153-00004KHTO (61-611-26.00642).pdf</t>
  </si>
  <si>
    <t xml:space="preserve">1600 - Intangible Assets Trademark</t>
  </si>
  <si>
    <t xml:space="preserve">Due 30 days. No payment found Jan-Sep. New trademark registration -&gt; capitalise (see AJE-01).</t>
  </si>
  <si>
    <t xml:space="preserve">P21</t>
  </si>
  <si>
    <t xml:space="preserve">61-611-26.00643</t>
  </si>
  <si>
    <t xml:space="preserve">TM "Samai Label" Taiwan cl.33 - fee 190.00 + foreign fee 425.42 + VAT 10% 61.54</t>
  </si>
  <si>
    <t xml:space="preserve">3. MAR/Expense Invoices/S04153-00007KHTO (61-611-26.00643).pdf</t>
  </si>
  <si>
    <t xml:space="preserve">As P20.</t>
  </si>
  <si>
    <t xml:space="preserve">P22</t>
  </si>
  <si>
    <t xml:space="preserve">INV05093191</t>
  </si>
  <si>
    <t xml:space="preserve">Asana Starter x20, 20-Mar to 19-Apr-26</t>
  </si>
  <si>
    <t xml:space="preserve">3. MAR/Expense Invoices/8a128a0c9d054da7019d0b240240532f.pdf</t>
  </si>
  <si>
    <t xml:space="preserve">CARD-3579552958</t>
  </si>
  <si>
    <t xml:space="preserve">P23</t>
  </si>
  <si>
    <t xml:space="preserve">2026-03</t>
  </si>
  <si>
    <t xml:space="preserve">Consulting fee - Europe export, Mar-26</t>
  </si>
  <si>
    <t xml:space="preserve">3. MAR/Expense Invoices/Invoice_Samai_Antonio_March_2026 - Invoice.pdf</t>
  </si>
  <si>
    <t xml:space="preserve">P24</t>
  </si>
  <si>
    <t xml:space="preserve">SVC-51751</t>
  </si>
  <si>
    <t xml:space="preserve">Subscription 149.00, storage 102.92</t>
  </si>
  <si>
    <t xml:space="preserve">3. MAR/Expense Invoices/service_invoice_SVC-51751.pdf</t>
  </si>
  <si>
    <t xml:space="preserve">P25</t>
  </si>
  <si>
    <t xml:space="preserve">Dx5 software, Apr-26</t>
  </si>
  <si>
    <t xml:space="preserve">NOT PROVIDED - "4. APR/invoice_#35390.pdf" is a copy of the March invoice</t>
  </si>
  <si>
    <t xml:space="preserve">Card 4499 / 1993303</t>
  </si>
  <si>
    <t xml:space="preserve">Amount taken from bank (USD 491.24). Request April invoice.</t>
  </si>
  <si>
    <t xml:space="preserve">P26</t>
  </si>
  <si>
    <t xml:space="preserve">211861</t>
  </si>
  <si>
    <t xml:space="preserve">TM renewal work + USPTO Section 71 filing fee 375.00</t>
  </si>
  <si>
    <t xml:space="preserve">4. APR/Expense Invoices/bill_211861.pdf</t>
  </si>
  <si>
    <t xml:space="preserve">The 27-Apr USD 279 payment covered only the 2 earlier invoices. 654.00 = 139.50 + 93.00 + 375.00 + 46.50.</t>
  </si>
  <si>
    <t xml:space="preserve">P27</t>
  </si>
  <si>
    <t xml:space="preserve">INV05195135</t>
  </si>
  <si>
    <t xml:space="preserve">Asana Starter x20, 20-Apr to 19-May-26</t>
  </si>
  <si>
    <t xml:space="preserve">4. APR/Expense Invoices/8a12808f9d97f297019daac8bb9c6b9b.pdf</t>
  </si>
  <si>
    <t xml:space="preserve">CARD-3697689324</t>
  </si>
  <si>
    <t xml:space="preserve">P28</t>
  </si>
  <si>
    <t xml:space="preserve">2026-04</t>
  </si>
  <si>
    <t xml:space="preserve">Consulting fee - Europe export, Apr-26</t>
  </si>
  <si>
    <t xml:space="preserve">4. APR/Expense Invoices/Invoice_Samai_Antonio_April_2026 - Invoice.pdf</t>
  </si>
  <si>
    <t xml:space="preserve">P29</t>
  </si>
  <si>
    <t xml:space="preserve">SVC-53282</t>
  </si>
  <si>
    <t xml:space="preserve">Subscription 149.00, storage DK 75.60, storage ES 24.00</t>
  </si>
  <si>
    <t xml:space="preserve">4. APR/Expense Invoices/service_invoice_SVC-53282.pdf</t>
  </si>
  <si>
    <t xml:space="preserve">EUR 153.30 offset by April order payments; EUR 95.30 rolled into Bemakers balance owed.</t>
  </si>
  <si>
    <t xml:space="preserve">P30</t>
  </si>
  <si>
    <t xml:space="preserve">#36699</t>
  </si>
  <si>
    <t xml:space="preserve">Dx5 software, May-26 (less credit note CN-1729 USD 47.54)</t>
  </si>
  <si>
    <t xml:space="preserve">5. MAY/Expense Invoices/invoice_#36699.pdf</t>
  </si>
  <si>
    <t xml:space="preserve">CARD-4204401960</t>
  </si>
  <si>
    <t xml:space="preserve">Amount due 443.70 after credit CN-1729 (credit note not provided).</t>
  </si>
  <si>
    <t xml:space="preserve">P31</t>
  </si>
  <si>
    <t xml:space="preserve">INV05297781</t>
  </si>
  <si>
    <t xml:space="preserve">Asana Starter x20, 20-May to 19-Jun-26 - CANCELLED</t>
  </si>
  <si>
    <t xml:space="preserve">5. MAY/Expense Invoices/8a128f989e3f96da019e454863b44f3b.pdf</t>
  </si>
  <si>
    <t xml:space="preserve">CANCELLED - nil</t>
  </si>
  <si>
    <t xml:space="preserve">Fully reversed by credit memos CM00316948 (56.92) + CM00317006 (237.16) on 14-Jun. No payment. Book bill + credit (or skip).</t>
  </si>
  <si>
    <t xml:space="preserve">P32</t>
  </si>
  <si>
    <t xml:space="preserve">2026-05</t>
  </si>
  <si>
    <t xml:space="preserve">Consulting fee - Europe export, May-26</t>
  </si>
  <si>
    <t xml:space="preserve">5. MAY/Expense Invoices/Invoice_Samai_Antonio_May_2026 - Invoice.pdf</t>
  </si>
  <si>
    <t xml:space="preserve">P33</t>
  </si>
  <si>
    <t xml:space="preserve">SVC-55390</t>
  </si>
  <si>
    <t xml:space="preserve">Subscription 149.00, storage DK 78.12, storage ES 24.80</t>
  </si>
  <si>
    <t xml:space="preserve">5. MAY/Expense Invoices/service_invoice_SVC-55390.pdf</t>
  </si>
  <si>
    <t xml:space="preserve">In Bemakers balance (not yet charged).</t>
  </si>
  <si>
    <t xml:space="preserve">P34</t>
  </si>
  <si>
    <t xml:space="preserve">INV05431734</t>
  </si>
  <si>
    <t xml:space="preserve">Asana Starter 15 seats less 5 = 134.90</t>
  </si>
  <si>
    <t xml:space="preserve">6. JUN/Expense Invoices/8a1281f09f0214f6019f161558c706f1.pdf</t>
  </si>
  <si>
    <t xml:space="preserve">NOT SG - billed to Samai Distilling Co. Ltd. (Cambodia)</t>
  </si>
  <si>
    <t xml:space="preserve">Paid by card 5497 (not a Samai SG card)</t>
  </si>
  <si>
    <t xml:space="preserve">P-05929420</t>
  </si>
  <si>
    <t xml:space="preserve">CONFIRM - NOT SG invoice</t>
  </si>
  <si>
    <t xml:space="preserve">Billed to the Cambodian subsidiary. SG refunded the subsidiary EUR 356.51 on 25-Aug (Wise EUR) "Refund for payment for ASANA subscription". Book in SG only if Asana is for SG use.</t>
  </si>
  <si>
    <t xml:space="preserve">P35</t>
  </si>
  <si>
    <t xml:space="preserve">INV05431730</t>
  </si>
  <si>
    <t xml:space="preserve">Asana Starter 5 seats</t>
  </si>
  <si>
    <t xml:space="preserve">6. JUN/Expense Invoices/8a1292cf9f0214f4019f1613abbc4d12.pdf</t>
  </si>
  <si>
    <t xml:space="preserve">P-05929416</t>
  </si>
  <si>
    <t xml:space="preserve">As P34.</t>
  </si>
  <si>
    <t xml:space="preserve">P36</t>
  </si>
  <si>
    <t xml:space="preserve">2026-06</t>
  </si>
  <si>
    <t xml:space="preserve">Consulting fee - Europe export, Jun-26</t>
  </si>
  <si>
    <t xml:space="preserve">6. JUN/Expense Invoices/Invoice_Samai_Antonio_June_2026 - Invoice.pdf</t>
  </si>
  <si>
    <t xml:space="preserve">P37</t>
  </si>
  <si>
    <t xml:space="preserve">SVC-57828</t>
  </si>
  <si>
    <t xml:space="preserve">Subscription 149.00, storage DK 58.38, storage ES 24.00, stickers application 110.00</t>
  </si>
  <si>
    <t xml:space="preserve">6. JUN/Expense Invoices/service_invoice_SVC-57828.pdf</t>
  </si>
  <si>
    <t xml:space="preserve">EUR 97.79 offset by June order payments; EUR 243.59 in Bemakers balance owed.</t>
  </si>
  <si>
    <t xml:space="preserve">P38</t>
  </si>
  <si>
    <t xml:space="preserve">SVC-60182</t>
  </si>
  <si>
    <t xml:space="preserve">Subscription 149.00, storage DK 52.08, storage ES 24.80, shipping adj. 13.57</t>
  </si>
  <si>
    <t xml:space="preserve">7. JUL/Expense Invoices/service_invoice_SVC-60182.pdf</t>
  </si>
  <si>
    <t xml:space="preserve">418.03 = 225.88 / 418.01 = 13.57</t>
  </si>
  <si>
    <t xml:space="preserve">P39</t>
  </si>
  <si>
    <t xml:space="preserve">Russell &amp; Stellar B.V.</t>
  </si>
  <si>
    <t xml:space="preserve">RS-2026-0029</t>
  </si>
  <si>
    <t xml:space="preserve">Strategic, commercial &amp; export support - Aug-26</t>
  </si>
  <si>
    <t xml:space="preserve">8. AUG/Expense Invoice/Invoice RS-Samai_2026-0029.pdf</t>
  </si>
  <si>
    <t xml:space="preserve">TRANSFER-2362428288</t>
  </si>
  <si>
    <t xml:space="preserve">No VAT (outside scope).</t>
  </si>
  <si>
    <t xml:space="preserve">P40</t>
  </si>
  <si>
    <t xml:space="preserve">VYHMEQOS-0008</t>
  </si>
  <si>
    <t xml:space="preserve">Claude Pro, 26-Aug to 26-Sep-26 (27.52 + SG GST 2.48)</t>
  </si>
  <si>
    <t xml:space="preserve">8. AUG/Expense Invoice/Invoice-VYHMEQOS-0008.pdf + Receipt-2097-3531-8409.pdf</t>
  </si>
  <si>
    <t xml:space="preserve">NOT company bank - Visa 8731</t>
  </si>
  <si>
    <t xml:space="preserve">Receipt 2097-3531-8409</t>
  </si>
  <si>
    <t xml:space="preserve">CHECK - paid personally?</t>
  </si>
  <si>
    <t xml:space="preserve">Paid by Visa ending 8731 - not in any company statement. If director paid: book bill and pay via 2220 Due to Director (or expense claim).</t>
  </si>
  <si>
    <t xml:space="preserve">P41</t>
  </si>
  <si>
    <t xml:space="preserve">SVC-61829</t>
  </si>
  <si>
    <t xml:space="preserve">Subscription 149.00, storage DK 43.26, storage ES 24.80, shipping adj. 14.22</t>
  </si>
  <si>
    <t xml:space="preserve">8. AUG/Expense Invoice/service_invoice_SVC-61829.pdf</t>
  </si>
  <si>
    <t xml:space="preserve">418.03 = 217.06 / 418.01 = 14.22</t>
  </si>
  <si>
    <t xml:space="preserve">Bemakers balance owed by Samai at 31-Aug = EUR 1,337.54 (statement STL-7429).</t>
  </si>
  <si>
    <t xml:space="preserve">P42</t>
  </si>
  <si>
    <t xml:space="preserve">RS-2026-0041</t>
  </si>
  <si>
    <t xml:space="preserve">Strategic, commercial &amp; export support - Sep-26</t>
  </si>
  <si>
    <t xml:space="preserve">9. SEPT/Expense Invoices/Invoice RS-Samai_2026-0041.pdf</t>
  </si>
  <si>
    <t xml:space="preserve">UNPAID at 30-Sep</t>
  </si>
  <si>
    <t xml:space="preserve">Due 17-Sep-26. Not paid by 30-Sep.</t>
  </si>
  <si>
    <t xml:space="preserve">P43</t>
  </si>
  <si>
    <t xml:space="preserve">SNPA - La Maison du Whisky</t>
  </si>
  <si>
    <t xml:space="preserve">1992137</t>
  </si>
  <si>
    <t xml:space="preserve">"The Avant Gardists" base subscription 300.00 + listing Gold/White/Kampot 3 x 60.00</t>
  </si>
  <si>
    <t xml:space="preserve">9. SEPT/Expense Invoices/Invoice 1992137.pdf</t>
  </si>
  <si>
    <t xml:space="preserve">418.04 - Advertising and Promotion</t>
  </si>
  <si>
    <t xml:space="preserve">LMDW billing Samai (supplier invoice, not a sale). Due 30-Oct-26. VAT exempt export.</t>
  </si>
  <si>
    <t xml:space="preserve">Summary by invoice currency</t>
  </si>
  <si>
    <t xml:space="preserve">Invoiced</t>
  </si>
  <si>
    <t xml:space="preserve">Settled</t>
  </si>
  <si>
    <t xml:space="preserve">Outstanding EUR = Antonio 6,000.00 + Bemakers 1,061.54 + Russell &amp; Stellar 1,000.00 + LMDW 480.00. Outstanding USD = Tilleke 1,353.92 + BrewerLong 654.00. BEMAKERS CHECK: bills outstanding 1,061.54 + negative order payments 276.00 (Sales tab B06/B08/B09/B10) = EUR 1,337.54 = balance owed per Bemakers statement 31-Aug (STL-7429).</t>
  </si>
  <si>
    <t xml:space="preserve">UOB SGD - UOB SGD current a/c 3803445794 - Xero 1110 UOB (SGD) 794</t>
  </si>
  <si>
    <t xml:space="preserve">Every line from the statements Jan-Sep 2026 in date order. "Balance check" recomputes the running balance from the previous line and must be 0 on every row (proves no line missing/mis-typed). Opening SGD 2.92 = TB 31-Dec-2025 USD 2.27 (TB is in USD).</t>
  </si>
  <si>
    <t xml:space="preserve">Status: GREEN matched to an invoice (Sales/Purchases tab)  |  GREY no invoice needed (bank fee, transfer, loan, reversal)  |  AMBER receipt missing (card subscription/travel - download/collect)  |  RED invoice/document missing or to confirm.</t>
  </si>
  <si>
    <t xml:space="preserve">Date</t>
  </si>
  <si>
    <t xml:space="preserve">Month</t>
  </si>
  <si>
    <t xml:space="preserve">Description (as per statement)</t>
  </si>
  <si>
    <t xml:space="preserve">Reference / Transaction ID</t>
  </si>
  <si>
    <t xml:space="preserve">Money In (SGD)</t>
  </si>
  <si>
    <t xml:space="preserve">Money Out (SGD)</t>
  </si>
  <si>
    <t xml:space="preserve">Statement Balance (SGD)</t>
  </si>
  <si>
    <t xml:space="preserve">Balance check (must be 0)</t>
  </si>
  <si>
    <t xml:space="preserve">Transaction Type</t>
  </si>
  <si>
    <t xml:space="preserve">Applied to (invoice / tab)</t>
  </si>
  <si>
    <t xml:space="preserve">Invoice Status</t>
  </si>
  <si>
    <t xml:space="preserve">Opening balance 01-Jan-2026</t>
  </si>
  <si>
    <t xml:space="preserve">Jan</t>
  </si>
  <si>
    <t xml:space="preserve">Misc CR-Debit Card | 30 DEC 4494 | UOB Cash Rebate</t>
  </si>
  <si>
    <t xml:space="preserve">Bank income</t>
  </si>
  <si>
    <t xml:space="preserve">260 - Other Revenue</t>
  </si>
  <si>
    <t xml:space="preserve">No invoice needed</t>
  </si>
  <si>
    <t xml:space="preserve">UOB debit card cash rebate. Use tax rate "No Tax" (company not GST-registered).</t>
  </si>
  <si>
    <t xml:space="preserve">Misc CR-Debit Card | 30 DEC 4499 | UOB Cash Rebate</t>
  </si>
  <si>
    <t xml:space="preserve">Misc DR-Debit Card | 03 JAN 4499 8098311 | MICROSOFT*MICROSOFT | 36 MSBILL.INFO SG</t>
  </si>
  <si>
    <t xml:space="preserve">Card 4499 / 8098311</t>
  </si>
  <si>
    <t xml:space="preserve">Expense</t>
  </si>
  <si>
    <t xml:space="preserve">MISSING RECEIPT (subscription/card)</t>
  </si>
  <si>
    <t xml:space="preserve">Microsoft 365 monthly.</t>
  </si>
  <si>
    <t xml:space="preserve">FUNDS TRANSFER | FT26010507896714 | 101601120130C01 | SAMAI DISTILLERY | CAMBODIA PTE LTD</t>
  </si>
  <si>
    <t xml:space="preserve">FT26010507896714</t>
  </si>
  <si>
    <t xml:space="preserve">Transfer</t>
  </si>
  <si>
    <t xml:space="preserve">From UOB USD (USD 2,000.00) - FT26010507896714</t>
  </si>
  <si>
    <t xml:space="preserve">1120 - UOB (USD) 491</t>
  </si>
  <si>
    <t xml:space="preserve">Own-account transfer. Record as Xero bank transfer (USD 2,000 out / SGD 2,550 in).</t>
  </si>
  <si>
    <t xml:space="preserve">Misc DR-Debit Card | 12 JAN 4499 4634644 | USD 491.24 | FIVE X 5 | 7206384958 US</t>
  </si>
  <si>
    <t xml:space="preserve">Supplier payment</t>
  </si>
  <si>
    <t xml:space="preserve">Purchase tab: Five x 5 #34076 (USD 491.24)</t>
  </si>
  <si>
    <t xml:space="preserve">Matched to invoice</t>
  </si>
  <si>
    <t xml:space="preserve">Card 4499.</t>
  </si>
  <si>
    <t xml:space="preserve">Misc DR-Debit Card | 13 JAN 4494 8533268 | USD 29.00 | WEBFLOW.COM | SAN FRANCISCOUS</t>
  </si>
  <si>
    <t xml:space="preserve">Card 4494 / 8533268</t>
  </si>
  <si>
    <t xml:space="preserve">Webflow website plan.</t>
  </si>
  <si>
    <t xml:space="preserve">Misc DR-Debit Card | 15 JAN 4494 7064182 | USD 47.34 | NAME-CHEAP.COM* | OLXLDF PHOENIX      US</t>
  </si>
  <si>
    <t xml:space="preserve">Card 4494 / 7064182</t>
  </si>
  <si>
    <t xml:space="preserve">Namecheap domain USD 47.34.</t>
  </si>
  <si>
    <t xml:space="preserve">Misc Debit | PMRSG24012026105167 | PMRACCASC/0126 | Account Annual Service | Fee</t>
  </si>
  <si>
    <t xml:space="preserve">PMRSG24012026105167</t>
  </si>
  <si>
    <t xml:space="preserve">Bank fee</t>
  </si>
  <si>
    <t xml:space="preserve">8110 - Bank Charges &amp; Fees</t>
  </si>
  <si>
    <t xml:space="preserve">UOB account annual service fee.</t>
  </si>
  <si>
    <t xml:space="preserve">Service Charge</t>
  </si>
  <si>
    <t xml:space="preserve">Monthly UOB service charge.</t>
  </si>
  <si>
    <t xml:space="preserve">Feb</t>
  </si>
  <si>
    <t xml:space="preserve">Misc CR-Debit Card | 30 JAN 4494 | UOB Cash Rebate</t>
  </si>
  <si>
    <t xml:space="preserve">Misc CR-Debit Card | 30 JAN 4499 | UOB Cash Rebate</t>
  </si>
  <si>
    <t xml:space="preserve">Misc DR-Debit Card | 01 FEB 4499 7359233 | USD 491.24 | FIVE X 5 | 7206384958 US</t>
  </si>
  <si>
    <t xml:space="preserve">Purchase tab: Five x 5 #34753 (USD 491.24)</t>
  </si>
  <si>
    <t xml:space="preserve">Misc DR-Debit Card | 02 FEB 4499 2757090 | Microsoft*Microsoft 36 | Singapore SG</t>
  </si>
  <si>
    <t xml:space="preserve">Card 4499 / 2757090</t>
  </si>
  <si>
    <t xml:space="preserve">Misc DR-Debit Card | 13 FEB 4494 9562384 | USD 29.00 | WEBFLOW.COM | SAN FRANCISCOUS</t>
  </si>
  <si>
    <t xml:space="preserve">Card 4494 / 9562384</t>
  </si>
  <si>
    <t xml:space="preserve">Mar</t>
  </si>
  <si>
    <t xml:space="preserve">Misc CR-Debit Card | 27 FEB 4494 | UOB Cash Rebate</t>
  </si>
  <si>
    <t xml:space="preserve">Misc CR-Debit Card | 27 FEB 4499 | UOB Cash Rebate</t>
  </si>
  <si>
    <t xml:space="preserve">Misc DR-Debit Card | 01 MAR 4499 8020639 | USD 491.24 | FIVE X 5 | 7206384958 US</t>
  </si>
  <si>
    <t xml:space="preserve">Purchase tab: Five x 5 #35390 (USD 491.24)</t>
  </si>
  <si>
    <t xml:space="preserve">Misc DR-Debit Card | 01 MAR 4499 1711259 | MICROSOFT*MICROSOFT | 36 MSBILL.INFO SG</t>
  </si>
  <si>
    <t xml:space="preserve">Card 4499 / 1711259</t>
  </si>
  <si>
    <t xml:space="preserve">Misc DR-Debit Card | 13 MAR 4494 0353471 | USD 29.00 | WEBFLOW.COM | SAN FRANCISCOUS</t>
  </si>
  <si>
    <t xml:space="preserve">Card 4494 / 0353471</t>
  </si>
  <si>
    <t xml:space="preserve">Misc DR-Debit Card 17 | MAR 4494 2354312 USD | 158.00 FRESH DELI &amp; | MARKET BROOKLYN US</t>
  </si>
  <si>
    <t xml:space="preserve">Disputed card charge</t>
  </si>
  <si>
    <t xml:space="preserve">Refunded 09/04/2026 (UOB dispute)</t>
  </si>
  <si>
    <t xml:space="preserve">1210 - Other Receivables</t>
  </si>
  <si>
    <t xml:space="preserve">FRESH DELI &amp; MARKET, Brooklyn (USD 158.00) on card 4494 - disputed; UOB letter 08-Apr-26 (transaction dispute refund.pdf). Nets to nil with the 09/04 refund.</t>
  </si>
  <si>
    <t xml:space="preserve">Apr</t>
  </si>
  <si>
    <t xml:space="preserve">Misc CR-Debit Card | 30 MAR 4499 | UOB Local Cash Rebate</t>
  </si>
  <si>
    <t xml:space="preserve">FUNDS TRANSFER | FT26040538264753 | 101604060231C01 | SAMAI DISTILLERY | CAMBODIA PTE LTD</t>
  </si>
  <si>
    <t xml:space="preserve">FT26040538264753</t>
  </si>
  <si>
    <t xml:space="preserve">From UOB USD (USD 550.00) - FT26040538264753</t>
  </si>
  <si>
    <t xml:space="preserve">Own-account transfer.</t>
  </si>
  <si>
    <t xml:space="preserve">Misc DR-Debit Card | 01 APR 4499 7407780 | MICROSOFT*MICROSOFT | 36 MSBILL.INFO SG</t>
  </si>
  <si>
    <t xml:space="preserve">Card 4499 / 7407780</t>
  </si>
  <si>
    <t xml:space="preserve">Misc CR-Debit Card 17 | MAR 4690 2354312 CR CB | DISPUTES- FRESH DELI &amp; | MARKET</t>
  </si>
  <si>
    <t xml:space="preserve">Dispute refund</t>
  </si>
  <si>
    <t xml:space="preserve">Reverses 20/03/2026 charge</t>
  </si>
  <si>
    <t xml:space="preserve">Temporary refund of disputed Fresh Deli charge. No re-debit seen up to 30 Sep 2026.</t>
  </si>
  <si>
    <t xml:space="preserve">Misc DR-Debit Card | 08 APR 4499 1993303 | USD 491.24 | FIVE X 5 | 7206384958 US</t>
  </si>
  <si>
    <t xml:space="preserve">Five x 5 Apr-2026 invoice (NOT provided - APR folder has a copy of March #35390)</t>
  </si>
  <si>
    <t xml:space="preserve">Card 4499, USD 491.24.</t>
  </si>
  <si>
    <t xml:space="preserve">Misc DR-Debit Card | 16 APR 4499 4643506 | USD 12.88 | FACEBK *WCFKHLMVP2 | DUBLIN    IE</t>
  </si>
  <si>
    <t xml:space="preserve">Card 4499 / 4643506</t>
  </si>
  <si>
    <t xml:space="preserve">6800.02 - Digital Marketing</t>
  </si>
  <si>
    <t xml:space="preserve">Meta (Facebook) ads - download receipts from Meta Ads Manager.</t>
  </si>
  <si>
    <t xml:space="preserve">Misc DR-Debit Card | 20 APR 4499 2250483 | USD 50.60 | INTUIT *QBooks Online | SAN DIEGO US</t>
  </si>
  <si>
    <t xml:space="preserve">Card 4499 / 2250483</t>
  </si>
  <si>
    <t xml:space="preserve">QuickBooks Online USD 50.60/month.</t>
  </si>
  <si>
    <t xml:space="preserve">May</t>
  </si>
  <si>
    <t xml:space="preserve">Misc CR-Debit Card | 29 APR 4499 | UOB Local Cash Rebate</t>
  </si>
  <si>
    <t xml:space="preserve">Misc DR-Debit Card | 02 MAY 4499 1686218 | Microsoft*Microsoft 36 | Singapore SG</t>
  </si>
  <si>
    <t xml:space="preserve">Card 4499 / 1686218</t>
  </si>
  <si>
    <t xml:space="preserve">Jun</t>
  </si>
  <si>
    <t xml:space="preserve">Misc CR-Debit Card | 29 MAY 4499 | UOB Local Cash Rebate</t>
  </si>
  <si>
    <t xml:space="preserve">Inward Credit-FAST | Samai Distillery Cam | OTHR Other | movement to pay bills</t>
  </si>
  <si>
    <t xml:space="preserve">From Wise EUR (EUR 540.92) - Wise TRANSFER-2169913316</t>
  </si>
  <si>
    <t xml:space="preserve">1140 - WISE Bank (EUR) 3462</t>
  </si>
  <si>
    <t xml:space="preserve">Own-account transfer ("movement to pay bills").</t>
  </si>
  <si>
    <t xml:space="preserve">FUNDS TRANSFER | FT26060559996491 | 101606030391C01 | SAMAI DISTILLERY | CAMBODIA PTE LTD</t>
  </si>
  <si>
    <t xml:space="preserve">FT26060559996491</t>
  </si>
  <si>
    <t xml:space="preserve">To UOB USD (USD 100.00) - FT26060559996491</t>
  </si>
  <si>
    <t xml:space="preserve">Misc DR-Debit Card | 01 JUN 4499 3013640 | MICROSOFT*MICROSOFT | 36 MSBILL.INFO SG</t>
  </si>
  <si>
    <t xml:space="preserve">Card 4499 / 3013640</t>
  </si>
  <si>
    <t xml:space="preserve">Misc DR-Debit Card | 03 JUN 4499 0598063 | USD 366.24 | Google Workspace_samai | SG      SG</t>
  </si>
  <si>
    <t xml:space="preserve">Card 4499 / 0598063</t>
  </si>
  <si>
    <t xml:space="preserve">Google Workspace monthly.</t>
  </si>
  <si>
    <t xml:space="preserve">Jul</t>
  </si>
  <si>
    <t xml:space="preserve">Misc CR-Debit Card | 29 JUN 4499 | UOB Local Cash Rebate</t>
  </si>
  <si>
    <t xml:space="preserve">Misc DR-Debit Card | 01 JUL 4499 7625069 | USD 325.34 | Google Workspace_samai | SG       SG</t>
  </si>
  <si>
    <t xml:space="preserve">Card 4499 / 7625069</t>
  </si>
  <si>
    <t xml:space="preserve">Misc DR-Debit Card | 01 JUL 4499 9088037 | MICROSOFT*MICROSOFT | 36 MSBILL.INFO SG</t>
  </si>
  <si>
    <t xml:space="preserve">Card 4499 / 9088037</t>
  </si>
  <si>
    <t xml:space="preserve">Aug</t>
  </si>
  <si>
    <t xml:space="preserve">Misc CR-Debit Card | 30 JUL 4499 | UOB Local Cash Rebate</t>
  </si>
  <si>
    <t xml:space="preserve">Misc DR-Debit Card | 01 AUG 4499 5387371 | MICROSOFT*MICROSOFT | 36 MSBILL.INFO SG</t>
  </si>
  <si>
    <t xml:space="preserve">Card 4499 / 5387371</t>
  </si>
  <si>
    <t xml:space="preserve">FUNDS TRANSFER | FT26080585117987 | 101608050108C01 | SAMAI DISTILLERY | CAMBODIA PTE LTD</t>
  </si>
  <si>
    <t xml:space="preserve">FT26080585117987</t>
  </si>
  <si>
    <t xml:space="preserve">From UOB USD (USD 995.00) - FT26080585117987</t>
  </si>
  <si>
    <t xml:space="preserve">Misc DR-Debit Card | 18 AUG 6897 9100111 | SLEEK SUBSCRIPTION | SINGAPORE SG</t>
  </si>
  <si>
    <t xml:space="preserve">Card 6897 / 9100111</t>
  </si>
  <si>
    <t xml:space="preserve">6750.02 - Accounting &amp; Tax Services</t>
  </si>
  <si>
    <t xml:space="preserve">Sleek Subscription SGD 10.00 (card 6897). Get Sleek receipt.</t>
  </si>
  <si>
    <t xml:space="preserve">Sep</t>
  </si>
  <si>
    <t xml:space="preserve">FUNDS TRANSFER | FT26090597217660 | 101609010293C01 | SAMAI DISTILLERY | CAMBODIA PTE LTD</t>
  </si>
  <si>
    <t xml:space="preserve">FT26090597217660</t>
  </si>
  <si>
    <t xml:space="preserve">To UOB USD (USD 100.00) - FT26090597217660</t>
  </si>
  <si>
    <t xml:space="preserve">Misc CR-Debit Card | 29 AUG 6897 | UOB Local Cash Rebate</t>
  </si>
  <si>
    <t xml:space="preserve">Misc CR-Debit Card | 01 SEP 6897 | YOUR ANNUAL CARD FEE | IS WAIVED</t>
  </si>
  <si>
    <t xml:space="preserve">Bank fee reversal</t>
  </si>
  <si>
    <t xml:space="preserve">Card fee waived (reverses one of the two SGD 36.67 fees).</t>
  </si>
  <si>
    <t xml:space="preserve">Misc DR-Debit Card | 31 AUG 4690 | CARD MEMBERSHIP FEE - | INCLUSIVE OF GST</t>
  </si>
  <si>
    <t xml:space="preserve">UOB card membership fee (incl. GST).</t>
  </si>
  <si>
    <t xml:space="preserve">Misc DR-Debit Card | 31 AUG 6897 | CARD MEMBERSHIP FEE - | INCLUSIVE OF GST</t>
  </si>
  <si>
    <t xml:space="preserve">Misc DR-Debit Card | 28 SEP 6897 6011095 | VND 2186181.00 | 7382423804130 VIETNAM | A        S</t>
  </si>
  <si>
    <t xml:space="preserve">Card 6897 / 6011095</t>
  </si>
  <si>
    <t xml:space="preserve">Travel (KL / Singapore early Sep; Ho Chi Minh end Sep) - get receipts + business purpose.</t>
  </si>
  <si>
    <t xml:space="preserve">Misc DR-Debit Card | 28 SEP 6897 6013091 | VND 3511000.00 | 7382423804153 VIETNAM | A        S</t>
  </si>
  <si>
    <t xml:space="preserve">Card 6897 / 6013091</t>
  </si>
  <si>
    <t xml:space="preserve">Misc DR-Debit Card | 28 SEP 6897 6014099 | VND 180000.00 | 7384406580133 VIETNAM | A        S</t>
  </si>
  <si>
    <t xml:space="preserve">Card 6897 / 6014099</t>
  </si>
  <si>
    <t xml:space="preserve">TOTALS / Closing balance 30-Sep-2026</t>
  </si>
  <si>
    <t xml:space="preserve">Closing per statement:</t>
  </si>
  <si>
    <t xml:space="preserve">UOB USD - UOB USD current a/c 3809524491 - Xero 1120 UOB (USD) 491</t>
  </si>
  <si>
    <t xml:space="preserve">Every line from the statements Jan-Sep 2026 in date order. "Balance check" recomputes the running balance from the previous line and must be 0 on every row (proves no line missing/mis-typed). Opening USD 2,663.88 = TB 31-Dec-2025 exactly. Account was overdrawn at end-May (-26.12) and end-Aug (-27.99).</t>
  </si>
  <si>
    <t xml:space="preserve">Money In (USD)</t>
  </si>
  <si>
    <t xml:space="preserve">Money Out (USD)</t>
  </si>
  <si>
    <t xml:space="preserve">Statement Balance (USD)</t>
  </si>
  <si>
    <t xml:space="preserve">To UOB SGD (SGD 2,550.00) - FT26010507896714</t>
  </si>
  <si>
    <t xml:space="preserve">1110 - UOB (SGD) 794</t>
  </si>
  <si>
    <t xml:space="preserve">To UOB SGD (SGD 701.93) - FT26040538264753</t>
  </si>
  <si>
    <t xml:space="preserve">From UOB SGD (SGD 129.22) - FT26060559996491</t>
  </si>
  <si>
    <t xml:space="preserve">OD Int Charge</t>
  </si>
  <si>
    <t xml:space="preserve">Overdraft interest - account was overdrawn (May: USD -26.12).</t>
  </si>
  <si>
    <t xml:space="preserve">INWARD TRF - TT | 2026080400131005 | 1IR608045286C01 | JOSEPH JAMES HOESS</t>
  </si>
  <si>
    <t xml:space="preserve">1IR608045286C01</t>
  </si>
  <si>
    <t xml:space="preserve">UNIDENTIFIED RECEIPT</t>
  </si>
  <si>
    <t xml:space="preserve">None - no document provided</t>
  </si>
  <si>
    <t xml:space="preserve">3200 - SAFE Investment (PROPOSED - to confirm)</t>
  </si>
  <si>
    <t xml:space="preserve">MISSING DOCUMENT</t>
  </si>
  <si>
    <t xml:space="preserve">Inward TT from JOSEPH JAMES HOESS. No agreement/invoice provided. Confirm nature: SAFE investment (3200), loan (2510) or sale. USD 15,000 of it was sent to Samai Distilling Co. Ltd. the next day.</t>
  </si>
  <si>
    <t xml:space="preserve">To UOB SGD (SGD 1,265.74) - FT26080585117987</t>
  </si>
  <si>
    <t xml:space="preserve">FUNDS TRF - TT | 1OR608050827C01 | 1OR608050827C01 | Samai Distilling Co. Ltd.</t>
  </si>
  <si>
    <t xml:space="preserve">1OR608050827C01</t>
  </si>
  <si>
    <t xml:space="preserve">Intercompany loan</t>
  </si>
  <si>
    <t xml:space="preserve">Loan to subsidiary</t>
  </si>
  <si>
    <t xml:space="preserve">1500 - Long-term Intercompany Loan Receivable Samai Cambodia</t>
  </si>
  <si>
    <t xml:space="preserve">TT to Samai Distilling Co. Ltd. (Cambodia subsidiary). Keep loan agreement / board approval on file.</t>
  </si>
  <si>
    <t xml:space="preserve">From UOB SGD (SGD 128.29) - FT26090597217660</t>
  </si>
  <si>
    <t xml:space="preserve">WISE EUR - Wise EUR - IBAN BE51 9671 0820 3462 - Xero 1140 WISE Bank (EUR) 3462</t>
  </si>
  <si>
    <t xml:space="preserve">Every line from the statements Jan-Sep 2026 in date order. "Balance check" recomputes the running balance from the previous line and must be 0 on every row (proves no line missing/mis-typed). Opening EUR 1,662.49 = TB 31-Dec-2025 USD 1,950.60. Card spends on Wise are in many currencies - amount booked is the EUR debited.</t>
  </si>
  <si>
    <t xml:space="preserve">Money In (EUR)</t>
  </si>
  <si>
    <t xml:space="preserve">Money Out (EUR)</t>
  </si>
  <si>
    <t xml:space="preserve">Statement Balance (EUR)</t>
  </si>
  <si>
    <t xml:space="preserve">Card transaction of 18.90 USD issued by Google Workspace_samaidis SG (card 2740)</t>
  </si>
  <si>
    <t xml:space="preserve">CARD-3296203991</t>
  </si>
  <si>
    <t xml:space="preserve">Card transaction of 75.17 HKD issued by Uber B.v. Central &amp; Wes (card 2740)</t>
  </si>
  <si>
    <t xml:space="preserve">Purchase tab: Uber HK$75.17 receipt (6 Jan)</t>
  </si>
  <si>
    <t xml:space="preserve">Daniel - taxis to visit HK distributor (screenshots provided).</t>
  </si>
  <si>
    <t xml:space="preserve">Card transaction of 72.00 HKD issued by Uber B.v. Central &amp; Wes (card 2740)</t>
  </si>
  <si>
    <t xml:space="preserve">Purchase tab: Uber HK$72.00 receipt (7 Jan)</t>
  </si>
  <si>
    <t xml:space="preserve">Received money from SOCIETE NOUVELLE DE PRODUITS ALIMENTAIRES with reference 2025-12-001/SCT2601010172</t>
  </si>
  <si>
    <t xml:space="preserve">TRANSFER-1921143232</t>
  </si>
  <si>
    <t xml:space="preserve">Customer receipt (prior year)</t>
  </si>
  <si>
    <t xml:space="preserve">Invoice 2025-12-001 (2025 - not provided)</t>
  </si>
  <si>
    <t xml:space="preserve">1200 - Accounts Receivable</t>
  </si>
  <si>
    <t xml:space="preserve">LMDW (Societe Nouvelle de Produits Alimentaires). Clears 31-Dec-2025 AR - apply against the 2025 invoice in Xero.</t>
  </si>
  <si>
    <t xml:space="preserve">Card transaction of 49.49 USD issued by Canva* I04764-27014909 CANVA.  (card 2740)</t>
  </si>
  <si>
    <t xml:space="preserve">CARD-3355401031</t>
  </si>
  <si>
    <t xml:space="preserve">Canva design software.</t>
  </si>
  <si>
    <t xml:space="preserve">Sent money to Daniel Alberto Pacheco Mendez</t>
  </si>
  <si>
    <t xml:space="preserve">TRANSFER-1927057703</t>
  </si>
  <si>
    <t xml:space="preserve">Director reimbursement</t>
  </si>
  <si>
    <t xml:space="preserve">To Daniel Alberto Pacheco Mendez - "Refund for final accommodation expense of Japan trip". Get hotel receipt. If already accrued at 31-Dec-2025 (Other Payables USD 1,334.74) code to 2210 instead.</t>
  </si>
  <si>
    <t xml:space="preserve">Card transaction of 80.65 USD issued by Facebk *J49fncvmj2 FACEBOOK.  (card 4619)</t>
  </si>
  <si>
    <t xml:space="preserve">CARD-3361327243</t>
  </si>
  <si>
    <t xml:space="preserve">Card transaction of 294.08 USD issued by Asana.com ASANA.COM (card 2740)</t>
  </si>
  <si>
    <t xml:space="preserve">Purchase tab: Asana INV04888916 (USD 294.08)</t>
  </si>
  <si>
    <t xml:space="preserve">Card 2740.</t>
  </si>
  <si>
    <t xml:space="preserve">Converted 3,780.44 EUR to 4,510.68 USD</t>
  </si>
  <si>
    <t xml:space="preserve">BALANCE-4707531557</t>
  </si>
  <si>
    <t xml:space="preserve">Transfer (FX conversion)</t>
  </si>
  <si>
    <t xml:space="preserve">To Wise USD (USD 4,510.68) - BALANCE-4707531557</t>
  </si>
  <si>
    <t xml:space="preserve">1130 - WISE Bank (USD) 1576 (NEW - add in Xero)</t>
  </si>
  <si>
    <t xml:space="preserve">Wise currency conversion.</t>
  </si>
  <si>
    <t xml:space="preserve">Received money from BEMAKERS APS with reference PAYOUT - FEBRUARY 2026</t>
  </si>
  <si>
    <t xml:space="preserve">Bemakers payout</t>
  </si>
  <si>
    <t xml:space="preserve">Sales tab: Bemakers Jan + Feb settlement</t>
  </si>
  <si>
    <t xml:space="preserve">1220 - Clearing Account (Bemakers)</t>
  </si>
  <si>
    <t xml:space="preserve">Payout - February 2026. = opening balance -1,805.90 + Jan orders 41.76 - Jan fees 379.52 + Feb orders 5,790.98 - Feb fees 249.10.</t>
  </si>
  <si>
    <t xml:space="preserve">Card transaction of 144.13 USD issued by Facebk *U2zrckmmj2 FACEBOOK.  (card 4619)</t>
  </si>
  <si>
    <t xml:space="preserve">CARD-3572507073</t>
  </si>
  <si>
    <t xml:space="preserve">Purchase tab: Asana INV05093191 (USD 294.08)</t>
  </si>
  <si>
    <t xml:space="preserve">Card transaction of 30.00 SGD issued by Claude.ai Subscription ANTHROPIC.  (card 2740)</t>
  </si>
  <si>
    <t xml:space="preserve">CARD-3599255302</t>
  </si>
  <si>
    <t xml:space="preserve">Claude subscription (there are 2 seats - billed ~11th and ~26th).</t>
  </si>
  <si>
    <t xml:space="preserve">Card transaction of 367.41 USD issued by Google Workspace_samaidis SG (card 2740)</t>
  </si>
  <si>
    <t xml:space="preserve">CARD-3621151105</t>
  </si>
  <si>
    <t xml:space="preserve">Received money from SOCIETE NOUVELLE DE PRODUITS ALIMENTAIRES with reference 2026-02-001,2026-01-001/SCT2604010340</t>
  </si>
  <si>
    <t xml:space="preserve">Customer receipt</t>
  </si>
  <si>
    <t xml:space="preserve">Sales tab: 2026-01-001 (EUR 866.03) + 2026-02-001 (EUR 688.63)</t>
  </si>
  <si>
    <t xml:space="preserve">LMDW - pays 2 invoices exactly.</t>
  </si>
  <si>
    <t xml:space="preserve">Card transaction of 21.80 USD issued by Openai *Chatgpt Subscr OPENAI.  (card 2740)</t>
  </si>
  <si>
    <t xml:space="preserve">CARD-3631182013</t>
  </si>
  <si>
    <t xml:space="preserve">ChatGPT subscription.</t>
  </si>
  <si>
    <t xml:space="preserve">Converted 445.04 EUR to 4,000.00 HKD</t>
  </si>
  <si>
    <t xml:space="preserve">BALANCE-5069444188</t>
  </si>
  <si>
    <t xml:space="preserve">To Wise HKD (HKD 4,000.00) - BALANCE-5069444188</t>
  </si>
  <si>
    <t xml:space="preserve">1150 - WISE Bank (HKD) (NEW - add in Xero)</t>
  </si>
  <si>
    <t xml:space="preserve">MISSING STATEMENT</t>
  </si>
  <si>
    <t xml:space="preserve">Wise HKD balance statement not provided - need it to see how the HKD 4,000 was used.</t>
  </si>
  <si>
    <t xml:space="preserve">Converted 957.55 EUR to 1,100.00 USD</t>
  </si>
  <si>
    <t xml:space="preserve">BALANCE-5071094883</t>
  </si>
  <si>
    <t xml:space="preserve">To Wise USD (USD 1,100.00) - BALANCE-5071094883</t>
  </si>
  <si>
    <t xml:space="preserve">Received money from BEMAKERS APS with reference PAYOUT - MARCH 2026</t>
  </si>
  <si>
    <t xml:space="preserve">Sales tab: Bemakers Mar settlement</t>
  </si>
  <si>
    <t xml:space="preserve">Payout - March 2026 = Mar orders 6,561.58 - Mar fees 251.92.</t>
  </si>
  <si>
    <t xml:space="preserve">Sent money to Samai Distilling Co. Ltd.</t>
  </si>
  <si>
    <t xml:space="preserve">TRANSFER-2088696861</t>
  </si>
  <si>
    <t xml:space="preserve">To Samai Distilling Co. Ltd. ref "Loan from Holding Co".</t>
  </si>
  <si>
    <t xml:space="preserve">Card transaction of 545.60 USD issued by Intuit *Qbooks Online 800-446- 8848 (card 2740)</t>
  </si>
  <si>
    <t xml:space="preserve">CARD-3697959154</t>
  </si>
  <si>
    <t xml:space="preserve">Intuit QuickBooks USD 545.60 - EUR part of split charge (see Wise USD 21/04 &amp; refund 22/04).</t>
  </si>
  <si>
    <t xml:space="preserve">Card transaction of 1.00 USD issued by Intuit *Quickbooks 800-446-8848 (card 2740)</t>
  </si>
  <si>
    <t xml:space="preserve">CARD-3697964312</t>
  </si>
  <si>
    <t xml:space="preserve">Card authorisation</t>
  </si>
  <si>
    <t xml:space="preserve">Reversed 24/04</t>
  </si>
  <si>
    <t xml:space="preserve">Intuit USD 1.00 verification - reversed 24/04 (nets nil).</t>
  </si>
  <si>
    <t xml:space="preserve">Received money from Rum-Exchange Trading Company e.U. with reference 2026-04-001</t>
  </si>
  <si>
    <t xml:space="preserve">Sales tab: Rum-Exchange 2026-04-001 (invoice not provided)</t>
  </si>
  <si>
    <t xml:space="preserve">Rum-Exchange Trading Company e.U. ref "2026-04-001". Sales invoice not provided - note LMDW invoice also uses no. 2026-04-001.</t>
  </si>
  <si>
    <t xml:space="preserve">Card authorisation reversal</t>
  </si>
  <si>
    <t xml:space="preserve">Reverses 21/04</t>
  </si>
  <si>
    <t xml:space="preserve">Nets nil.</t>
  </si>
  <si>
    <t xml:space="preserve">Received money from SOCIETE NOUVELLE DE PRODUITS ALIMENTAIRES with reference 2026-03 001/SCT2604010719</t>
  </si>
  <si>
    <t xml:space="preserve">Sales tab: 2026-03-001 (EUR 1,134.30)</t>
  </si>
  <si>
    <t xml:space="preserve">LMDW - exact.</t>
  </si>
  <si>
    <t xml:space="preserve">Card transaction of 384.07 USD issued by Google Workspace_samaidis SG (card 2740)</t>
  </si>
  <si>
    <t xml:space="preserve">CARD-3738071995</t>
  </si>
  <si>
    <t xml:space="preserve">Google Workspace USD 384.07 - EUR part of split (USD 73.35 from Wise USD).</t>
  </si>
  <si>
    <t xml:space="preserve">CARD-3748856148</t>
  </si>
  <si>
    <t xml:space="preserve">Card transaction of 29.00 USD issued by Webflow.com WEBFLOW.COM (card 0916)</t>
  </si>
  <si>
    <t xml:space="preserve">CARD-3765188669</t>
  </si>
  <si>
    <t xml:space="preserve">Sent money to HELLMANN WORLDWIDE LOGISTICS</t>
  </si>
  <si>
    <t xml:space="preserve">Purchase tab: Hellmann 4769331 (83.32) + 8105798 (38.21) + 8106697 (209.79)</t>
  </si>
  <si>
    <t xml:space="preserve">Exact total EUR 331.32.</t>
  </si>
  <si>
    <t xml:space="preserve">Card transaction of 30.00 SGD issued by Claude.ai Subscription ANTHROPIC.  (card 4619)</t>
  </si>
  <si>
    <t xml:space="preserve">CARD-3777590825</t>
  </si>
  <si>
    <t xml:space="preserve">Converted 445.12 EUR to 520.00 USD</t>
  </si>
  <si>
    <t xml:space="preserve">BALANCE-5282822010</t>
  </si>
  <si>
    <t xml:space="preserve">To Wise USD (USD 520.00) - BALANCE-5282822010</t>
  </si>
  <si>
    <t xml:space="preserve">CARD-3785907014</t>
  </si>
  <si>
    <t xml:space="preserve">Card transaction of 153.79 USD issued by Facebk *Tp6eqp5nj2 fb.me/ads (card 4619)</t>
  </si>
  <si>
    <t xml:space="preserve">CARD-3794046650</t>
  </si>
  <si>
    <t xml:space="preserve">Card transaction of 49.49 USD issued by Canva* I04884-21323197 CANVA.  (card 2740)</t>
  </si>
  <si>
    <t xml:space="preserve">CARD-3804029176</t>
  </si>
  <si>
    <t xml:space="preserve">Card transaction of 2.94 USD issued by Facebk *8y99urmmj2 fb.me/ads (card 4619)</t>
  </si>
  <si>
    <t xml:space="preserve">CARD-3807454062</t>
  </si>
  <si>
    <t xml:space="preserve">Card transaction of 144.00 USD issued by Wispr WISPRFLOW.AI (card 2740)</t>
  </si>
  <si>
    <t xml:space="preserve">CARD-3812190289</t>
  </si>
  <si>
    <t xml:space="preserve">Wispr Flow USD 144.00 (AI dictation software).</t>
  </si>
  <si>
    <t xml:space="preserve">Card transaction of 50.60 USD issued by Intuit *Qbooks Online 800-446- 8848 (card 2740)</t>
  </si>
  <si>
    <t xml:space="preserve">CARD-3819474937</t>
  </si>
  <si>
    <t xml:space="preserve">Card transaction of 8.50 USD issued by Facebk *6dekqrdnj2 FACEBOOK.  (card 4619)</t>
  </si>
  <si>
    <t xml:space="preserve">CARD-3836723477</t>
  </si>
  <si>
    <t xml:space="preserve">CARD-3841767726</t>
  </si>
  <si>
    <t xml:space="preserve">CARD-3844334934</t>
  </si>
  <si>
    <t xml:space="preserve">Card transaction of 9.14 USD issued by Facebk *9ry9updg22 FACEBOOK.  (card 4619)</t>
  </si>
  <si>
    <t xml:space="preserve">CARD-3871078585</t>
  </si>
  <si>
    <t xml:space="preserve">Received money from SOCIETE NOUVELLE DE PRODUITS ALIMENTAIRES with reference 2026-04-001/SCT2606010088</t>
  </si>
  <si>
    <t xml:space="preserve">Sales tab: 2026-04-001 (EUR 528.17)</t>
  </si>
  <si>
    <t xml:space="preserve">Sent money to Samai Distillery Cambodia Pte. Ltd.</t>
  </si>
  <si>
    <t xml:space="preserve">TRANSFER-2169913316</t>
  </si>
  <si>
    <t xml:space="preserve">To UOB SGD (SGD 800.00) - TRANSFER-2169913316</t>
  </si>
  <si>
    <t xml:space="preserve">Own-account transfer "movement to pay bills".</t>
  </si>
  <si>
    <t xml:space="preserve">CARD-3877747684</t>
  </si>
  <si>
    <t xml:space="preserve">Card transaction of 30.00 SGD issued by Anthropic* Claude Sub ANTHROPIC.  (card 4619)</t>
  </si>
  <si>
    <t xml:space="preserve">CARD-3907778764</t>
  </si>
  <si>
    <t xml:space="preserve">CARD-3916924912</t>
  </si>
  <si>
    <t xml:space="preserve">Card transaction of 21.80 SGD issued by Anthropic ANTHROPIC.COM (card 2740)</t>
  </si>
  <si>
    <t xml:space="preserve">CARD-3933528108</t>
  </si>
  <si>
    <t xml:space="preserve">Card transaction of 49.49 USD issued by Canva* I04915-61192624 CANVA.  (card 2740)</t>
  </si>
  <si>
    <t xml:space="preserve">CARD-3935068359</t>
  </si>
  <si>
    <t xml:space="preserve">Card transaction of 8.75 USD issued by Facebk *226vmt9yg2 FACEBOOK.  (card 4619)</t>
  </si>
  <si>
    <t xml:space="preserve">CARD-3941234926</t>
  </si>
  <si>
    <t xml:space="preserve">Received money from SOCIETE NOUVELLE DE PRODUITS ALIM ENTAIRES with reference FAF0126060706//</t>
  </si>
  <si>
    <t xml:space="preserve">Sales tab: LMDW ref FAF0126060706 (invoice not provided)</t>
  </si>
  <si>
    <t xml:space="preserve">LMDW payment - sales invoice not provided (probably May-2026 invoice).</t>
  </si>
  <si>
    <t xml:space="preserve">Card transaction of 11.00 USD issued by Facebk *Lqxzzvdnj2 FACEBOOK.  (card 4619)</t>
  </si>
  <si>
    <t xml:space="preserve">CARD-3990264572</t>
  </si>
  <si>
    <t xml:space="preserve">Card transaction of 38.48 USD issued by Facebk *Ax4b9u9nj2 FACEBOOK.  (card 4619)</t>
  </si>
  <si>
    <t xml:space="preserve">CARD-3990278863</t>
  </si>
  <si>
    <t xml:space="preserve">CARD-3990321527</t>
  </si>
  <si>
    <t xml:space="preserve">CARD-4007815395</t>
  </si>
  <si>
    <t xml:space="preserve">Card transaction of 37.40 USD issued by Facebk *S5mvkvrg22 FACEBOOK.  (card 4619)</t>
  </si>
  <si>
    <t xml:space="preserve">CARD-4016327220</t>
  </si>
  <si>
    <t xml:space="preserve">CARD-4040207684</t>
  </si>
  <si>
    <t xml:space="preserve">Card transaction of 39.00 USD issued by Webflow.com WEBFLOW.COM (card 0916)</t>
  </si>
  <si>
    <t xml:space="preserve">CARD-4049433945</t>
  </si>
  <si>
    <t xml:space="preserve">Received money from SOCIETE NOUVELLE DE PRODUITS ALIMENTAIRES with reference 2026-06-001/SCT2607010224</t>
  </si>
  <si>
    <t xml:space="preserve">Sales tab: LMDW 2026-06-001 (invoice not provided)</t>
  </si>
  <si>
    <t xml:space="preserve">LMDW payment - sales invoice not provided.</t>
  </si>
  <si>
    <t xml:space="preserve">Card transaction of 8.61 USD issued by Facebk *Fkwaht9g22 FACEBOOK.  (card 4619)</t>
  </si>
  <si>
    <t xml:space="preserve">CARD-4058384482</t>
  </si>
  <si>
    <t xml:space="preserve">Card transaction of 1,900.00 SGD issued by Sleek Subscription SINGAPORE (card 2740)</t>
  </si>
  <si>
    <t xml:space="preserve">CARD-4066385736</t>
  </si>
  <si>
    <t xml:space="preserve">Sleek Subscription SGD 1,900.00 (corporate secretarial/accounting). Request invoice; likely annual - see prepayment AJE-04.</t>
  </si>
  <si>
    <t xml:space="preserve">Card transaction of 49.49 USD issued by Canva* I04945-27259767 CANVA.  (card 2740)</t>
  </si>
  <si>
    <t xml:space="preserve">CARD-4069081962</t>
  </si>
  <si>
    <t xml:space="preserve">Card transaction of 6.77 USD issued by Facebk *Jrc25ydnj2 FACEBOOK.COM (card 4619)</t>
  </si>
  <si>
    <t xml:space="preserve">CARD-4081065331</t>
  </si>
  <si>
    <t xml:space="preserve">CARD-4086615725</t>
  </si>
  <si>
    <t xml:space="preserve">Received money from Tobias Boerger with reference invoice 2026-06-001</t>
  </si>
  <si>
    <t xml:space="preserve">Sales tab: Tobias Boerger "invoice 2026-06-001" (not provided)</t>
  </si>
  <si>
    <t xml:space="preserve">Sales invoice not provided. Same invoice no. quoted by LMDW on 14/07 - confirm numbering.</t>
  </si>
  <si>
    <t xml:space="preserve">Card transaction of 30.00 SGD issued by Anthropic* Claude Sub ANTHROPIC.  (card 2740)</t>
  </si>
  <si>
    <t xml:space="preserve">CARD-4109726048</t>
  </si>
  <si>
    <t xml:space="preserve">TRANSFER-2275547584</t>
  </si>
  <si>
    <t xml:space="preserve">To Samai Distilling Co. Ltd. ref "Shareholder Loan".</t>
  </si>
  <si>
    <t xml:space="preserve">Card transaction of 277.61 USD issued by Google Workspace_samaidis SG (card 2740)</t>
  </si>
  <si>
    <t xml:space="preserve">CARD-4135286160</t>
  </si>
  <si>
    <t xml:space="preserve">CARD-4177769802</t>
  </si>
  <si>
    <t xml:space="preserve">Received money from VEIS DYSTRYBUCJA SPOLKA Z OGRANICZONA ODPOWIEDZIALNOSCIA with reference INVOICE Invoice No: 2026-06-002</t>
  </si>
  <si>
    <t xml:space="preserve">Sales tab: VEIS Dystrybucja 2026-06-002 (invoice not provided)</t>
  </si>
  <si>
    <t xml:space="preserve">Sales invoice not provided.</t>
  </si>
  <si>
    <t xml:space="preserve">CARD-4186908748</t>
  </si>
  <si>
    <t xml:space="preserve">Card transaction of 15.22 USD issued by Facebk *4kkqzw5g22 FACEBOOK.  (card 4619)</t>
  </si>
  <si>
    <t xml:space="preserve">CARD-4195966410</t>
  </si>
  <si>
    <t xml:space="preserve">Card transaction of 443.70 USD issued by Five X 5 7206384958 (card 0916)</t>
  </si>
  <si>
    <t xml:space="preserve">Purchase tab: Five x 5 #36699 (USD 443.70 after credit CN-1729)</t>
  </si>
  <si>
    <t xml:space="preserve">Card 0916. USD 443.70.</t>
  </si>
  <si>
    <t xml:space="preserve">Card transaction of 8.49 USD issued by Canva* I04976-35248117 CANVA.  (card 2740)</t>
  </si>
  <si>
    <t xml:space="preserve">CARD-4205969486</t>
  </si>
  <si>
    <t xml:space="preserve">Card transaction of 237.69 USD issued by Five X 5 7206384958 (card 0916)</t>
  </si>
  <si>
    <t xml:space="preserve">CARD-4206460513</t>
  </si>
  <si>
    <t xml:space="preserve">Five x 5 - invoice not provided (USD 237.69)</t>
  </si>
  <si>
    <t xml:space="preserve">Card 0916. USD 237.69 - no matching invoice (possibly Jun/Jul pro-rata). Request Five x 5 statement.</t>
  </si>
  <si>
    <t xml:space="preserve">Card transaction of 167.30 USD issued by Facebk *V5bgm3anj4 FACEBOOK.  (card 4619)</t>
  </si>
  <si>
    <t xml:space="preserve">CARD-4212998349</t>
  </si>
  <si>
    <t xml:space="preserve">Card transaction of 61.61 USD issued by Facebk *Ab5u93syg4 fb.me/ads (card 4619)</t>
  </si>
  <si>
    <t xml:space="preserve">CARD-4221509273</t>
  </si>
  <si>
    <t xml:space="preserve">Card transaction of 50.60 USD issued by Intuit *Qbooks Online 800-446-8848 (card 2740)</t>
  </si>
  <si>
    <t xml:space="preserve">CARD-4223056520</t>
  </si>
  <si>
    <t xml:space="preserve">Card transaction of 383.68 USD issued by Air Asia Usd01 PHN (card 2740)</t>
  </si>
  <si>
    <t xml:space="preserve">CARD-4232514928</t>
  </si>
  <si>
    <t xml:space="preserve">Air Asia USD 383.68 - flight. Get booking receipt + purpose.</t>
  </si>
  <si>
    <t xml:space="preserve">TRANSFER-2329578316</t>
  </si>
  <si>
    <t xml:space="preserve">Reimbursement to subsidiary</t>
  </si>
  <si>
    <t xml:space="preserve">Asana INV05431734 + INV05431730 (billed to Samai Distilling Co. Ltd.)</t>
  </si>
  <si>
    <t xml:space="preserve">CONFIRM</t>
  </si>
  <si>
    <t xml:space="preserve">To Samai Distilling Co. Ltd. "Refund for payment for ASANA subscription". Asana Jun-26 invoices are in the Cambodia company's name (paid by its card 5497). If Asana is used by SG -&gt; 6650; if by Cambodia -&gt; 1500.</t>
  </si>
  <si>
    <t xml:space="preserve">Sent money to Ket Monnyreak</t>
  </si>
  <si>
    <t xml:space="preserve">TRANSFER-2329597037</t>
  </si>
  <si>
    <t xml:space="preserve">Payment returned</t>
  </si>
  <si>
    <t xml:space="preserve">Returned 08/09/2026 (EUR 1,531.82)</t>
  </si>
  <si>
    <t xml:space="preserve">1220 - Clearing Account</t>
  </si>
  <si>
    <t xml:space="preserve">Ket Monnyreak "Label design" - same Wise transfer came back on 08/09 (EUR 68.62 less). Re-paid 01/09. Difference cleared in AJE-05.</t>
  </si>
  <si>
    <t xml:space="preserve">Card transaction of 80.10 USD issued by Agoda.com Dorsett Ha Internet (card 2740)</t>
  </si>
  <si>
    <t xml:space="preserve">CARD-4254472094</t>
  </si>
  <si>
    <t xml:space="preserve">Agoda - Dorsett hotel USD 80.10. Get booking receipt + purpose.</t>
  </si>
  <si>
    <t xml:space="preserve">Card transaction of 101.17 USD issued by Asana.com ASANA.COM (card 0916)</t>
  </si>
  <si>
    <t xml:space="preserve">CARD-4261033472</t>
  </si>
  <si>
    <t xml:space="preserve">Asana USD 101.17 (card 0916) - no invoice provided.</t>
  </si>
  <si>
    <t xml:space="preserve">Received money from SOCIETE NOUVELLE DE PRODUITS ALIMEN with reference 2026-07-001/SCT2608010300</t>
  </si>
  <si>
    <t xml:space="preserve">Sales tab: LMDW 2026-07-001 (invoice not provided)</t>
  </si>
  <si>
    <t xml:space="preserve">TRANSFER-2343474186</t>
  </si>
  <si>
    <t xml:space="preserve">Ket Monnyreak - "label design" (re-payment). Request invoice.</t>
  </si>
  <si>
    <t xml:space="preserve">Card transaction of 491.24 USD issued by Five X 5 7206384958 (card 0916)</t>
  </si>
  <si>
    <t xml:space="preserve">CARD-4269517947</t>
  </si>
  <si>
    <t xml:space="preserve">Five x 5 - Sep-2026 invoice not provided (USD 491.24)</t>
  </si>
  <si>
    <t xml:space="preserve">Card 0916.</t>
  </si>
  <si>
    <t xml:space="preserve">Card transaction of 274.68 USD issued by Google Workspace_samaidis SG (card 2740)</t>
  </si>
  <si>
    <t xml:space="preserve">CARD-4270929288</t>
  </si>
  <si>
    <t xml:space="preserve">Card transaction of 28.85 SGD issued by Cursor, Ai Powered Ide CURSOR.  (card 2740)</t>
  </si>
  <si>
    <t xml:space="preserve">CARD-4272038824</t>
  </si>
  <si>
    <t xml:space="preserve">Cursor (AI code editor) SGD 28.85.</t>
  </si>
  <si>
    <t xml:space="preserve">Card transaction of 43.33 USD issued by Facebk *Ztagv4syg4 fb.me/ads (card 4619)</t>
  </si>
  <si>
    <t xml:space="preserve">CARD-4277923672</t>
  </si>
  <si>
    <t xml:space="preserve">Card transaction of 400.00 MYR issued by Jabatan Kastam Diraja LCCT (card 2740)</t>
  </si>
  <si>
    <t xml:space="preserve">CARD-4278308498</t>
  </si>
  <si>
    <t xml:space="preserve">400.02 - Excise Duties</t>
  </si>
  <si>
    <t xml:space="preserve">Jabatan Kastam Diraja (Royal Malaysian Customs) LCCT MYR 400.00 - customs duty at KL airport. Confirm what goods (if samples -&gt; 418.04).</t>
  </si>
  <si>
    <t xml:space="preserve">Card transaction of 1.00 MYR issued by Grab Registration 0382303000 (card 2740)</t>
  </si>
  <si>
    <t xml:space="preserve">CARD-4278348248</t>
  </si>
  <si>
    <t xml:space="preserve">Card authorisation + reversal</t>
  </si>
  <si>
    <t xml:space="preserve">Nets nil</t>
  </si>
  <si>
    <t xml:space="preserve">Grab MYR 1.00 card check - reversed.</t>
  </si>
  <si>
    <t xml:space="preserve">Card transaction of 25.77 SGD issued by Grab* A-9polsjbwx2auav Singapore (card 2740)</t>
  </si>
  <si>
    <t xml:space="preserve">CARD-4278355985</t>
  </si>
  <si>
    <t xml:space="preserve">Card transaction of 2.47 SGD issued by Grab* A-9polsjbwx2auav Singapore (card 2740)</t>
  </si>
  <si>
    <t xml:space="preserve">CARD-4278500631</t>
  </si>
  <si>
    <t xml:space="preserve">Card transaction of 22.15 MYR issued by Darlas Kitchen KL (card 2740)</t>
  </si>
  <si>
    <t xml:space="preserve">CARD-4278566191</t>
  </si>
  <si>
    <t xml:space="preserve">Card transaction of 4.95 SGD issued by Grab* A-9ppx7slwwigbav Singapore (card 2740)</t>
  </si>
  <si>
    <t xml:space="preserve">CARD-4278584112</t>
  </si>
  <si>
    <t xml:space="preserve">Card transaction of 4.62 SGD issued by Grab* A-9pqtidxgx6dsav Singapore (card 2740)</t>
  </si>
  <si>
    <t xml:space="preserve">CARD-4281174536</t>
  </si>
  <si>
    <t xml:space="preserve">Card transaction of 12.02 USD issued by Facebk *Hhn655sxg4 fb.me/ads (card 4619)</t>
  </si>
  <si>
    <t xml:space="preserve">CARD-4282470445</t>
  </si>
  <si>
    <t xml:space="preserve">Card transaction of 27.90 SGD issued by Grab* A-9ptwvh7ww97wav Singapore (card 2740)</t>
  </si>
  <si>
    <t xml:space="preserve">CARD-4283060228</t>
  </si>
  <si>
    <t xml:space="preserve">CARD-4283061433</t>
  </si>
  <si>
    <t xml:space="preserve">Card transaction of 3.12 SGD issued by Grab* A-9ptwvh7ww97wav Singapore (card 2740)</t>
  </si>
  <si>
    <t xml:space="preserve">CARD-4283213307</t>
  </si>
  <si>
    <t xml:space="preserve">Card transaction of 230.00 MYR issued by Airasia Counter-Kul KLIA (card 2740)</t>
  </si>
  <si>
    <t xml:space="preserve">CARD-4283296580</t>
  </si>
  <si>
    <t xml:space="preserve">Card transaction of 17.80 MYR issued by Ahh-Yum (t2 - Gate Q) SEPANG (card 2740)</t>
  </si>
  <si>
    <t xml:space="preserve">CARD-4283450916</t>
  </si>
  <si>
    <t xml:space="preserve">Card transaction of 1.50 USD issued by Www.2c2p.com*Www.2c2p.com BANGKOK (card 2740)</t>
  </si>
  <si>
    <t xml:space="preserve">CARD-4285723513</t>
  </si>
  <si>
    <t xml:space="preserve">Card transaction of 1.17 USD issued by Facebk *F4f5p46yg4 fb.me/ads (card 4619)</t>
  </si>
  <si>
    <t xml:space="preserve">CARD-4287299554</t>
  </si>
  <si>
    <t xml:space="preserve">Card transaction of 2.48 USD issued by Facebk *Gztsp5eyg4 fb.me/ads (card 4619)</t>
  </si>
  <si>
    <t xml:space="preserve">CARD-4296288366</t>
  </si>
  <si>
    <t xml:space="preserve">Card transaction of 10.74 USD issued by Facebk *Cqslw4jyg4 fb.me/ads (card 4619)</t>
  </si>
  <si>
    <t xml:space="preserve">CARD-4300816300</t>
  </si>
  <si>
    <t xml:space="preserve">Return of 25/08 transfer TRANSFER-2329597037</t>
  </si>
  <si>
    <t xml:space="preserve">Ket Monnyreak transfer returned (statement wording says "Sent money" but it is incoming).</t>
  </si>
  <si>
    <t xml:space="preserve">Card transaction of 8.18 USD issued by Facebk *Dtwn45wxg4 fb.me/ads (card 4619)</t>
  </si>
  <si>
    <t xml:space="preserve">CARD-4305297867</t>
  </si>
  <si>
    <t xml:space="preserve">Card transaction of 7.16 USD issued by Facebk *7jr2v6ayg4 fb.me/ads (card 4619)</t>
  </si>
  <si>
    <t xml:space="preserve">CARD-4309819297</t>
  </si>
  <si>
    <t xml:space="preserve">Sent money to Russell &amp; Stellar B.V.</t>
  </si>
  <si>
    <t xml:space="preserve">Purchase tab: Russell &amp; Stellar RS-2026-0029</t>
  </si>
  <si>
    <t xml:space="preserve">Exact.</t>
  </si>
  <si>
    <t xml:space="preserve">Card transaction of 4.70 USD issued by Facebk *X86qd5wxg4 fb.me/ads (card 4619)</t>
  </si>
  <si>
    <t xml:space="preserve">CARD-4314431430</t>
  </si>
  <si>
    <t xml:space="preserve">CARD-4315146163</t>
  </si>
  <si>
    <t xml:space="preserve">Card transaction of 2.85 USD issued by Facebk *Xxst76sxg4 fb.me/ads (card 4619)</t>
  </si>
  <si>
    <t xml:space="preserve">CARD-4319303924</t>
  </si>
  <si>
    <t xml:space="preserve">Card transaction of 1.25 USD issued by Facebk *Dvhsh6eyg4 fb.me/ads (card 4619)</t>
  </si>
  <si>
    <t xml:space="preserve">CARD-4324181106</t>
  </si>
  <si>
    <t xml:space="preserve">CARD-4325220828</t>
  </si>
  <si>
    <t xml:space="preserve">Card transaction of 3.31 USD issued by Facebk *Zsvxq52yg4 fb.me/ads (card 4619)</t>
  </si>
  <si>
    <t xml:space="preserve">CARD-4328361939</t>
  </si>
  <si>
    <t xml:space="preserve">Card transaction of 9.63 USD issued by Facebk *Magjh7nyg4 fb.me/ads (card 4619)</t>
  </si>
  <si>
    <t xml:space="preserve">CARD-4332938297</t>
  </si>
  <si>
    <t xml:space="preserve">Card transaction of 13.72 USD issued by Facebk *Fvq4y22g24 FACEBOOK.  (card 4619)</t>
  </si>
  <si>
    <t xml:space="preserve">CARD-4333878535</t>
  </si>
  <si>
    <t xml:space="preserve">Card transaction of 8.38 USD issued by Facebk *Anqxm6syg4 fb.me/ads (card 4619)</t>
  </si>
  <si>
    <t xml:space="preserve">CARD-4337534286</t>
  </si>
  <si>
    <t xml:space="preserve">Card transaction of 7.04 USD issued by Facebk *Hfl9w6sxg4 fb.me/ads (card 4619)</t>
  </si>
  <si>
    <t xml:space="preserve">CARD-4342090634</t>
  </si>
  <si>
    <t xml:space="preserve">Card transaction of 8.49 USD issued by Canva* I05007-32888432 CANVA.  (card 2740)</t>
  </si>
  <si>
    <t xml:space="preserve">CARD-4344782952</t>
  </si>
  <si>
    <t xml:space="preserve">Card transaction of 4.63 USD issued by Facebk *T7ala6jyg4 fb.me/ads (card 4619)</t>
  </si>
  <si>
    <t xml:space="preserve">CARD-4346752562</t>
  </si>
  <si>
    <t xml:space="preserve">Card transaction of 10.90 SGD issued by Anthropic ANTHROPIC.COM (card 4619)</t>
  </si>
  <si>
    <t xml:space="preserve">CARD-4347845067</t>
  </si>
  <si>
    <t xml:space="preserve">CARD-4348251771</t>
  </si>
  <si>
    <t xml:space="preserve">Card transaction of 2.90 USD issued by Facebk *9qttk66yg4 fb.me/ads (card 4619)</t>
  </si>
  <si>
    <t xml:space="preserve">CARD-4351703959</t>
  </si>
  <si>
    <t xml:space="preserve">Card transaction of 74.81 USD issued by Facebk *Utjbt6nmj4 FACEBOOK.COM (card 4619)</t>
  </si>
  <si>
    <t xml:space="preserve">CARD-4352811190</t>
  </si>
  <si>
    <t xml:space="preserve">Card transaction of 2.65 USD issued by Facebk *Gxt878nyg4 fb.me/ads (card 4619)</t>
  </si>
  <si>
    <t xml:space="preserve">CARD-4356642516</t>
  </si>
  <si>
    <t xml:space="preserve">Card transaction of 6.75 USD issued by Facebk *Gmpfr6wxg4 fb.me/ads (card 4619)</t>
  </si>
  <si>
    <t xml:space="preserve">CARD-4360917162</t>
  </si>
  <si>
    <t xml:space="preserve">CARD-4363127348</t>
  </si>
  <si>
    <t xml:space="preserve">Card transaction of 12.51 USD issued by Facebk *Aksrf8nyg4 fb.me/ads (card 4619)</t>
  </si>
  <si>
    <t xml:space="preserve">CARD-4365499608</t>
  </si>
  <si>
    <t xml:space="preserve">Card transaction of 11.32 USD issued by Facebk *Ycscy62yg4 fb.me/ads (card 4619)</t>
  </si>
  <si>
    <t xml:space="preserve">CARD-4370047591</t>
  </si>
  <si>
    <t xml:space="preserve">Card transaction of 11.18 USD issued by Facebk *Zje7r8nyg4 fb.me/ads (card 4619)</t>
  </si>
  <si>
    <t xml:space="preserve">CARD-4374619840</t>
  </si>
  <si>
    <t xml:space="preserve">Card transaction of 7.95 USD issued by Facebk *2mg6x8ayg4 fb.me/ads (card 4619)</t>
  </si>
  <si>
    <t xml:space="preserve">CARD-4379183127</t>
  </si>
  <si>
    <t xml:space="preserve">Card transaction of 6.02 USD issued by Facebk *4lxgj76yg4 fb.me/ads (card 4619)</t>
  </si>
  <si>
    <t xml:space="preserve">CARD-4384111116</t>
  </si>
  <si>
    <t xml:space="preserve">Card transaction of 417.21 USD issued by Agoda.com Internet (card 2740)</t>
  </si>
  <si>
    <t xml:space="preserve">CARD-4388033969</t>
  </si>
  <si>
    <t xml:space="preserve">Card charge + reversal</t>
  </si>
  <si>
    <t xml:space="preserve">Agoda USD 417.21 charged and reversed same day.</t>
  </si>
  <si>
    <t xml:space="preserve">Card transaction of 3.38 USD issued by Facebk *Ah3j79ayg4 fb.me/ads (card 4619)</t>
  </si>
  <si>
    <t xml:space="preserve">CARD-4388986313</t>
  </si>
  <si>
    <t xml:space="preserve">Card transaction of 3.85 USD issued by Facebk *Vfq9r7jyg4 fb.me/ads (card 4619)</t>
  </si>
  <si>
    <t xml:space="preserve">CARD-4397736894</t>
  </si>
  <si>
    <t xml:space="preserve">Card transaction of 9.28 USD issued by Facebk *9a5vm8sxg4 fb.me/ads (card 4619)</t>
  </si>
  <si>
    <t xml:space="preserve">CARD-4402234726</t>
  </si>
  <si>
    <t xml:space="preserve">CARD-4402881258</t>
  </si>
  <si>
    <t xml:space="preserve">Card transaction of 1,205,200 VND issued by Nl Ct Tnhh Tmdv Do Ran HO CHI MINH (card 2740)</t>
  </si>
  <si>
    <t xml:space="preserve">CARD-4402900809</t>
  </si>
  <si>
    <t xml:space="preserve">Card transaction of 7,661,000 VND issued by Asian Ruby Center Point H HO CHI MINH (card 2740)</t>
  </si>
  <si>
    <t xml:space="preserve">CARD-4402932150</t>
  </si>
  <si>
    <t xml:space="preserve">Received money from SOCIETE NOUVELLE DE PRODUITS ALIM ENTAIRES with reference FAF0126090427//</t>
  </si>
  <si>
    <t xml:space="preserve">Sales tab: LMDW ref FAF0126090427 (invoice not provided)</t>
  </si>
  <si>
    <t xml:space="preserve">Card transaction of 1,628,550 VND issued by Payoo-Layla 01a HCM (card 2740)</t>
  </si>
  <si>
    <t xml:space="preserve">CARD-4405660870</t>
  </si>
  <si>
    <t xml:space="preserve">Charged and reversed same day.</t>
  </si>
  <si>
    <t xml:space="preserve">Card transaction of 2,867,130 VND issued by Payoo-Layla 01a HCM (card 2740)</t>
  </si>
  <si>
    <t xml:space="preserve">CARD-4405703073</t>
  </si>
  <si>
    <t xml:space="preserve">WISE USD - Wise USD a/c 8310621576 - NOT in chart of accounts: add bank account "1130 WISE Bank (USD) 1576"</t>
  </si>
  <si>
    <t xml:space="preserve">Every line from the statements Jan-Sep 2026 in date order. "Balance check" recomputes the running balance from the previous line and must be 0 on every row (proves no line missing/mis-typed). Statements provided Jan-May only (balance nil at 31-May). Get Jun-Sep statements or confirm nil activity. Opening nil (not in 2025 TB).</t>
  </si>
  <si>
    <t xml:space="preserve">Received money from PAYWARD TRADING LTD. with reference KRAKEN TX FTQCP7Y-LIAIMS33MECWLHHJ4 QX2OE AA06 N84G 7OCU 763Y</t>
  </si>
  <si>
    <t xml:space="preserve">TRANSFER-1931614612</t>
  </si>
  <si>
    <t xml:space="preserve">Crypto disposal proceeds</t>
  </si>
  <si>
    <t xml:space="preserve">1700 - Cryptocurrency Ethereum</t>
  </si>
  <si>
    <t xml:space="preserve">From PAYWARD TRADING (Kraken). Opening ETH cost USD 4,004.87 - see Adjusting Entries AJE-03 for loss on disposal. Keep Kraken trade statement as support.</t>
  </si>
  <si>
    <t xml:space="preserve">From Wise EUR (EUR 3,780.44) - BALANCE-4707531557</t>
  </si>
  <si>
    <t xml:space="preserve">Wise currency conversion = own-account transfer.</t>
  </si>
  <si>
    <t xml:space="preserve">TRANSFER-1942094777</t>
  </si>
  <si>
    <t xml:space="preserve">To Samai Distilling Co. Ltd. ref "SHAREHOLDER LOAN".</t>
  </si>
  <si>
    <t xml:space="preserve">Card transaction of 33.99 USD issued by Photogrid.inc SINGAPORE (card 4619)</t>
  </si>
  <si>
    <t xml:space="preserve">CARD-3401567254</t>
  </si>
  <si>
    <t xml:space="preserve">Photogrid app subscription.</t>
  </si>
  <si>
    <t xml:space="preserve">Card transaction of 304.80 USD issued by Google Workspace_samaidis SG (card 2740)</t>
  </si>
  <si>
    <t xml:space="preserve">CARD-3408998657</t>
  </si>
  <si>
    <t xml:space="preserve">Sent money to New Prestige Wines &amp; Spirits Enterprises</t>
  </si>
  <si>
    <t xml:space="preserve">TRANSFER-1963389146</t>
  </si>
  <si>
    <t xml:space="preserve">6800.03 - Events &amp; Promotions</t>
  </si>
  <si>
    <t xml:space="preserve">New Prestige Wines &amp; Spirits Enterprises - "Manila Gin Fest Fees". Request invoice.</t>
  </si>
  <si>
    <t xml:space="preserve">Purchase tab: Hellmann Rechnung 102776 (EUR 76.89)</t>
  </si>
  <si>
    <t xml:space="preserve">Paid from USD balance (USD amount debited).</t>
  </si>
  <si>
    <t xml:space="preserve">Purchase tab: Hellmann Rechnung 102401 (EUR 54.97)</t>
  </si>
  <si>
    <t xml:space="preserve">Card transaction of 49.49 USD issued by Canva* I04795-37828991 CANVA.  (card 2740)</t>
  </si>
  <si>
    <t xml:space="preserve">CARD-3466273151</t>
  </si>
  <si>
    <t xml:space="preserve">Sent money to Mandy Goyos Ball</t>
  </si>
  <si>
    <t xml:space="preserve">TRANSFER-1978392804</t>
  </si>
  <si>
    <t xml:space="preserve">Supplier payment (prior year?)</t>
  </si>
  <si>
    <t xml:space="preserve">Factura 2024-19 (not provided)</t>
  </si>
  <si>
    <t xml:space="preserve">2100 - Trade Accounts Payable</t>
  </si>
  <si>
    <t xml:space="preserve">Mandy Goyos Ball ref "Factura 2024-19". Looks like a 2024/2025 invoice - check it is in the 31-Dec-2025 Trade AP (USD 24,199.32); if not, expense it. Request invoice.</t>
  </si>
  <si>
    <t xml:space="preserve">Card transaction of 125.54 USD issued by Facebk *Fzeh3frmj2 FACEBOOK.  (card 4619)</t>
  </si>
  <si>
    <t xml:space="preserve">CARD-3472170629</t>
  </si>
  <si>
    <t xml:space="preserve">Purchase tab: Asana INV04992613 (USD 294.08)</t>
  </si>
  <si>
    <t xml:space="preserve">Card transaction of 27.52 SGD issued by Claude.ai Subscription ANTHROPIC.  (card 2740)</t>
  </si>
  <si>
    <t xml:space="preserve">Purchase tab: Anthropic VYHMEQOS-0001 (SGD 27.52)</t>
  </si>
  <si>
    <t xml:space="preserve">Receipt 2465-0474-1375.</t>
  </si>
  <si>
    <t xml:space="preserve">Card transaction of 311.30 USD issued by Google Workspace_samaidis SG (card 2740)</t>
  </si>
  <si>
    <t xml:space="preserve">CARD-3508150666</t>
  </si>
  <si>
    <t xml:space="preserve">CARD-3517057269</t>
  </si>
  <si>
    <t xml:space="preserve">CARD-3542727049</t>
  </si>
  <si>
    <t xml:space="preserve">Card transaction of 65.89 USD issued by Canva* I04823-39382468 CANVA.  (card 2740)</t>
  </si>
  <si>
    <t xml:space="preserve">CARD-3565988495</t>
  </si>
  <si>
    <t xml:space="preserve">From Wise EUR (EUR 957.55) - BALANCE-5071094883</t>
  </si>
  <si>
    <t xml:space="preserve">Sent money to Keo Cheerted</t>
  </si>
  <si>
    <t xml:space="preserve">TRANSFER-2061532407</t>
  </si>
  <si>
    <t xml:space="preserve">Keo Cheerted - "Fee for Design of Bottle". Request invoice/receipt.</t>
  </si>
  <si>
    <t xml:space="preserve">CARD-3659090544</t>
  </si>
  <si>
    <t xml:space="preserve">Card transaction of 65.89 USD issued by Canva* I04854-30116372 CANVA.  (card 2740)</t>
  </si>
  <si>
    <t xml:space="preserve">CARD-3683814464</t>
  </si>
  <si>
    <t xml:space="preserve">Card transaction of 124.47 USD issued by Facebk *Tvtlrl5nj2 FACEBOOK.  (card 4619)</t>
  </si>
  <si>
    <t xml:space="preserve">CARD-3690790528</t>
  </si>
  <si>
    <t xml:space="preserve">Purchase tab: Asana INV05195135 (USD 294.08)</t>
  </si>
  <si>
    <t xml:space="preserve">Intuit QuickBooks USD 545.60 - charge split: USD 83.40 here + EUR 386.39 from Wise EUR. USD 495.00 refunded 22/04 (net charge USD 50.60).</t>
  </si>
  <si>
    <t xml:space="preserve">Card transaction of -495.00 USD issued by Intuit *Qbooks Online 800-446- 8848 (card 2740)</t>
  </si>
  <si>
    <t xml:space="preserve">CARD-3700918745</t>
  </si>
  <si>
    <t xml:space="preserve">Refund</t>
  </si>
  <si>
    <t xml:space="preserve">Reverses part of 21/04 Intuit charge</t>
  </si>
  <si>
    <t xml:space="preserve">Intuit refund USD 495.00.</t>
  </si>
  <si>
    <t xml:space="preserve">CARD-3719434539</t>
  </si>
  <si>
    <t xml:space="preserve">Card transaction of 377.10 MYR issued by Junglebird KUALA LUMPUR (card 0409)</t>
  </si>
  <si>
    <t xml:space="preserve">CARD-3719468435</t>
  </si>
  <si>
    <t xml:space="preserve">Junglebird, Kuala Lumpur MYR 377.10 (card 0409 - Antonio). Get receipt + business purpose.</t>
  </si>
  <si>
    <t xml:space="preserve">Card transaction of 279.00 USD issued by Brewerlong WWW.BREWERLON (card 0409)</t>
  </si>
  <si>
    <t xml:space="preserve">Purchase tab: BrewerLong 211516 (USD 46.50) + 211693 (USD 232.50)</t>
  </si>
  <si>
    <t xml:space="preserve">Card 0409. Pays both open invoices (USD 279.00 balance per BrewerLong statement).</t>
  </si>
  <si>
    <t xml:space="preserve">CARD-3721454951</t>
  </si>
  <si>
    <t xml:space="preserve">Google Workspace USD 384.07 - split: USD 73.35 here + EUR 265.77 from Wise EUR.</t>
  </si>
  <si>
    <t xml:space="preserve">From Wise EUR (EUR 445.12) - BALANCE-5282822010</t>
  </si>
  <si>
    <t xml:space="preserve">TRANSFER-2130363424</t>
  </si>
  <si>
    <t xml:space="preserve">Ket Monnyreak - "Label Design Fee". Request invoice/receipt.</t>
  </si>
  <si>
    <t xml:space="preserve">PROPOSED ADJUSTING ENTRIES - period ending 30 Sep 2026 (Xero base currency USD)</t>
  </si>
  <si>
    <t xml:space="preserve">Post as Manual Journals in Xero (or Bills where stated). Yellow cells = assumptions to confirm/edit - amounts recalculate. Bills already entered from the Purchase tab sit in Accounts Payable automatically, so no accrual is proposed for them.</t>
  </si>
  <si>
    <t xml:space="preserve">Ref</t>
  </si>
  <si>
    <t xml:space="preserve">Account (Debit)</t>
  </si>
  <si>
    <t xml:space="preserve">Account (Credit)</t>
  </si>
  <si>
    <t xml:space="preserve">Amount</t>
  </si>
  <si>
    <t xml:space="preserve">Calculation / basis</t>
  </si>
  <si>
    <t xml:space="preserve">Narration / why</t>
  </si>
  <si>
    <t xml:space="preserve">INPUTS</t>
  </si>
  <si>
    <t xml:space="preserve">Trademark cost per 2025 TB (1600)</t>
  </si>
  <si>
    <t xml:space="preserve">Source: 2025 Trial Balance, account 1600 (USD).</t>
  </si>
  <si>
    <t xml:space="preserve">Accumulated amortisation per 2025 TB (1610)</t>
  </si>
  <si>
    <t xml:space="preserve">Source: 2025 Trial Balance, account 1610 (USD).</t>
  </si>
  <si>
    <t xml:space="preserve">Trademark useful life (years) - ASSUMED</t>
  </si>
  <si>
    <t xml:space="preserve">ASSUMPTION - use the same life as the 2025 accounts (check 2025 FS note). Straight-line.</t>
  </si>
  <si>
    <t xml:space="preserve">Months to amortise (Jan-Sep 2026)</t>
  </si>
  <si>
    <t xml:space="preserve">New Taiwan TM costs capitalised (P20 + P21, USD)</t>
  </si>
  <si>
    <t xml:space="preserve">Tilleke &amp; Gibbins 2 x USD 676.96 (16-Mar-2026).</t>
  </si>
  <si>
    <t xml:space="preserve">Months amortised on new TM (Apr-Sep)</t>
  </si>
  <si>
    <t xml:space="preserve">Convention: start the month after registration.</t>
  </si>
  <si>
    <t xml:space="preserve">ETH carrying value per 2025 TB (1700)</t>
  </si>
  <si>
    <t xml:space="preserve">Source: 2025 TB account 1700 (USD).</t>
  </si>
  <si>
    <t xml:space="preserve">Kraken proceeds received 21-Jan-2026 (USD)</t>
  </si>
  <si>
    <t xml:space="preserve">Wise USD TRANSFER-1931614612.</t>
  </si>
  <si>
    <t xml:space="preserve">Sleek subscription paid 17-Jul-2026 (SGD)</t>
  </si>
  <si>
    <t xml:space="preserve">Wise EUR CARD-4066385736 (EUR 1,292.46).</t>
  </si>
  <si>
    <t xml:space="preserve">Sleek months expired by 30-Sep (assumes 12-month plan from Jul-26)</t>
  </si>
  <si>
    <t xml:space="preserve">ASSUMPTION - confirm period on the Sleek invoice (missing).</t>
  </si>
  <si>
    <t xml:space="preserve">Bemakers Sep-26 fee estimate (EUR) - Aug actual</t>
  </si>
  <si>
    <t xml:space="preserve">ESTIMATE - Sep Bemakers statement not provided. Replace with actual.</t>
  </si>
  <si>
    <t xml:space="preserve">JOURNALS</t>
  </si>
  <si>
    <t xml:space="preserve">AJE-01a</t>
  </si>
  <si>
    <t xml:space="preserve">502.01 - Amortization Expense - Trademark</t>
  </si>
  <si>
    <t xml:space="preserve">1610 - Less: Accumulated Amortization Trademark</t>
  </si>
  <si>
    <t xml:space="preserve">Cost / life x 9/12</t>
  </si>
  <si>
    <t xml:space="preserve">PROPOSED - confirm life</t>
  </si>
  <si>
    <t xml:space="preserve">Amortisation of existing trademark Jan-Sep 2026. (Monthly in Xero = cost / life / 12.) Check: NBV after = cost - accumulated - this entry must stay positive.</t>
  </si>
  <si>
    <t xml:space="preserve">AJE-01b</t>
  </si>
  <si>
    <t xml:space="preserve">New TM cost / life x months</t>
  </si>
  <si>
    <t xml:space="preserve">PROPOSED - confirm</t>
  </si>
  <si>
    <t xml:space="preserve">Amortisation of Taiwan trademarks capitalised from Tilleke invoices P20/P21 (only if you agree to capitalise them - otherwise expense them to 6750.01 and skip this).</t>
  </si>
  <si>
    <t xml:space="preserve">AJE-02</t>
  </si>
  <si>
    <t xml:space="preserve">6750.02 - Accounting &amp; Tax Services (or 418.03 Bemakers fees)</t>
  </si>
  <si>
    <t xml:space="preserve">2200 - Accrued Expenses</t>
  </si>
  <si>
    <t xml:space="preserve">Estimate = Aug-26 Bemakers fee</t>
  </si>
  <si>
    <t xml:space="preserve">PROPOSED - estimate</t>
  </si>
  <si>
    <t xml:space="preserve">Accrue Bemakers Sep-2026 service invoice (subscription EUR 149 + storage). Code to 418.03 like other Bemakers fees. Reverse on 01-Oct when the actual invoice is booked.</t>
  </si>
  <si>
    <t xml:space="preserve">AJE-03</t>
  </si>
  <si>
    <t xml:space="preserve">545.00 - Unrealized Loss on Cryptocurrencies (suggest new a/c "Loss on disposal of crypto")</t>
  </si>
  <si>
    <t xml:space="preserve">ETH carrying value - Kraken proceeds</t>
  </si>
  <si>
    <t xml:space="preserve">CONFIRM - full disposal?</t>
  </si>
  <si>
    <t xml:space="preserve">Kraken (Payward) receipt coded to 1700 in Wise USD tab. If ALL Ethereum was sold, write off the remaining 1700 balance as a realised loss. If some ETH is still held, adjust to the Kraken statement instead.</t>
  </si>
  <si>
    <t xml:space="preserve">AJE-04</t>
  </si>
  <si>
    <t xml:space="preserve">1300 - Prepayments</t>
  </si>
  <si>
    <t xml:space="preserve">SGD 1,900 x unexpired months / 12</t>
  </si>
  <si>
    <t xml:space="preserve">PROPOSED - confirm period</t>
  </si>
  <si>
    <t xml:space="preserve">Sleek subscription paid 17-Jul-2026 appears to be an annual plan. Move the unexpired part to Prepayments; release monthly.</t>
  </si>
  <si>
    <t xml:space="preserve">AJE-05</t>
  </si>
  <si>
    <t xml:space="preserve">6870 - Loss on Exchange Rate (or 8110 Bank Charges)</t>
  </si>
  <si>
    <t xml:space="preserve">1,600.44 sent 25-Aug - 1,531.82 returned 08-Sep</t>
  </si>
  <si>
    <t xml:space="preserve">PROPOSED</t>
  </si>
  <si>
    <t xml:space="preserve">Ket Monnyreak transfer TRANSFER-2329597037 was returned short. Clears the balance left in 1220 after both bank lines are coded to 1220.</t>
  </si>
  <si>
    <t xml:space="preserve">AJE-06</t>
  </si>
  <si>
    <t xml:space="preserve">6650 - Software Subscription (or relevant expense)</t>
  </si>
  <si>
    <t xml:space="preserve">Opening 1300 balance per 2025 TB</t>
  </si>
  <si>
    <t xml:space="preserve">CONFIRM nature</t>
  </si>
  <si>
    <t xml:space="preserve">Release 31-Dec-2025 prepayment (USD 647.09) once it has been used in 2026. Confirm what it relates to (likely annual subscriptions) and the account.</t>
  </si>
  <si>
    <t xml:space="preserve">AJE-07</t>
  </si>
  <si>
    <t xml:space="preserve">400.00 - Cost of Goods Sold - Alcoholic Beverages</t>
  </si>
  <si>
    <t xml:space="preserve">1400 - Inventory - Finished Goods</t>
  </si>
  <si>
    <t xml:space="preserve">TBC</t>
  </si>
  <si>
    <t xml:space="preserve">Opening stock USD 32,385.83 - closing stock per count</t>
  </si>
  <si>
    <t xml:space="preserve">NEEDS STOCK COUNT</t>
  </si>
  <si>
    <t xml:space="preserve">No COGS is recorded with the sales. Get a stock count at 30-Sep (Samai SG stock held at LMDW / Bemakers DK &amp; ES warehouses) and post the movement. Write-offs/samples -&gt; 400.04.</t>
  </si>
  <si>
    <t xml:space="preserve">AJE-08</t>
  </si>
  <si>
    <t xml:space="preserve">Xero currency revaluation</t>
  </si>
  <si>
    <t xml:space="preserve">497 / 498 (automatic)</t>
  </si>
  <si>
    <t xml:space="preserve">EUR/SGD</t>
  </si>
  <si>
    <t xml:space="preserve">Automatic</t>
  </si>
  <si>
    <t xml:space="preserve">Xero Advisor &gt; Currency revaluation at 30-Sep</t>
  </si>
  <si>
    <t xml:space="preserve">Run Xero's month-end currency revaluation for the EUR and SGD bank accounts and open foreign-currency AR/AP. No manual amount.</t>
  </si>
  <si>
    <t xml:space="preserve">AJE-09</t>
  </si>
  <si>
    <t xml:space="preserve">Income tax expense (no account in COA)</t>
  </si>
  <si>
    <t xml:space="preserve">Income tax payable (no account in COA)</t>
  </si>
  <si>
    <t xml:space="preserve">Nil</t>
  </si>
  <si>
    <t xml:space="preserve">NO ENTRY</t>
  </si>
  <si>
    <t xml:space="preserve">Singapore CIT 17%: business is loss-making (2025 loss; retained deficit USD 457,753) so no current tax provision is expected for 2026. Re-test at year end (ECI due within 3 months of FYE). GST: not registered (turnover far below S$1m) - no GST accrual. Payments to Antonio / Russell &amp; Stellar are for services performed outside Singapore - no withholding tax.</t>
  </si>
  <si>
    <t xml:space="preserve">Check: Trademark NBV at 30-Sep after AJE-01a (USD)</t>
  </si>
  <si>
    <t xml:space="preserve">OPEN ITEMS TO CONFIRM WITH CLIENT (affect the entries above / bank coding)</t>
  </si>
  <si>
    <t xml:space="preserve">1</t>
  </si>
  <si>
    <t xml:space="preserve">Unidentified receipt USD 15,987.13 from JOSEPH JAMES HOESS (UOB USD 04-Aug, 1IR608045286C01). Provisionally coded 3200 SAFE Investment. Need agreement - SAFE (3200), loan (2510) or sale?</t>
  </si>
  <si>
    <t xml:space="preserve">2</t>
  </si>
  <si>
    <t xml:space="preserve">Sales invoices not provided for 7 receipts totalling EUR 12,319.16 (Sales tab S06-S12). Invoice numbers 2026-04-001 and 2026-06-001 are each quoted by two different customers.</t>
  </si>
  <si>
    <t xml:space="preserve">3</t>
  </si>
  <si>
    <t xml:space="preserve">Antonio Lopez de Haro invoices Jan-Jun EUR 6,000 - no payment found in any statement. Paid elsewhere, or still owed?</t>
  </si>
  <si>
    <t xml:space="preserve">4</t>
  </si>
  <si>
    <t xml:space="preserve">Tilleke &amp; Gibbins USD 1,353.92 (Mar) and BrewerLong 211861 USD 654.00 (Apr) - no payment found. Still owed? Also confirm capitalising Taiwan TM costs (AJE-01b).</t>
  </si>
  <si>
    <t xml:space="preserve">5</t>
  </si>
  <si>
    <t xml:space="preserve">Bemakers: balance owed by Samai EUR 1,337.54 at 31-Aug and growing - no card charge seen. Get Sep statement. Also confirm whether Feb "payments for orders" EUR 5,790.98 settles 2025 invoice 2025-11-002 (EUR 7,354.53).</t>
  </si>
  <si>
    <t xml:space="preserve">6</t>
  </si>
  <si>
    <t xml:space="preserve">Missing statements: Wise USD Jun-Sep, Wise HKD (EUR 445.04 converted to HKD 4,000 on 06-Apr - usage unknown), Wise SGD (only Apr provided - nil). Add bank accounts 1130 WISE (USD) and 1150 WISE (HKD) in Xero.</t>
  </si>
  <si>
    <t xml:space="preserve">7</t>
  </si>
  <si>
    <t xml:space="preserve">Intercompany loans to Samai Distilling Co. Ltd. (Cambodia) in 2026: USD 5,008.54 + EUR 8,538.91 + EUR 2,215.59 + USD 15,000.00 (all coded 1500). Keep loan agreement / board resolution. Asana reimbursement EUR 356.51 - SG cost or intercompany?</t>
  </si>
  <si>
    <t xml:space="preserve">8</t>
  </si>
  <si>
    <t xml:space="preserve">Prior-year items paid in 2026: Mandy Goyos Ball "Factura 2024-19" USD 1,231.65 (in 2025 AP?), Daniel - Japan trip accommodation EUR 305.28 (in 2025 Other Payables?), LMDW 2025-12-001 EUR 2,820.34 receipt (clears 2025 AR).</t>
  </si>
  <si>
    <t xml:space="preserve">9</t>
  </si>
  <si>
    <t xml:space="preserve">Anthropic Aug invoice SGD 30.00 paid by Visa 8731 - not a company card in these statements (director reimbursement?).</t>
  </si>
  <si>
    <t xml:space="preserve">10</t>
  </si>
  <si>
    <t xml:space="preserve">Five x 5: April and September invoices and the USD 237.69 charge (17-Aug) have no invoice. Ask for a statement of account (June/July invoices may also be missing/unpaid).</t>
  </si>
  <si>
    <t xml:space="preserve">11</t>
  </si>
  <si>
    <t xml:space="preserve">Receipts for card spend: subscriptions (Google, Microsoft, Canva, Meta ads, Webflow, Intuit, Claude, ChatGPT, Cursor, Wispr) and travel (KL early Sep, Ho Chi Minh end Sep, Air Asia, Agoda) - amber lines on bank tabs.</t>
  </si>
  <si>
    <t xml:space="preserve">12</t>
  </si>
  <si>
    <t xml:space="preserve">Name on sales invoices is "SAMAI DISTILLING COMPANY PTE LTD" - legal name is SAMAI DISTILLERY CAMBODIA PTE. LTD. Russell &amp; Stellar invoices show "60 Robinson Road" (should be 160).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</si>
</sst>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#,##0.00;\(#,##0.00\);\-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8CBAD"/>
        <bgColor rgb="FFFFE699"/>
      </patternFill>
    </fill>
    <fill>
      <patternFill patternType="solid">
        <fgColor rgb="FFDDEBF7"/>
        <bgColor rgb="FFEDEDED"/>
      </patternFill>
    </fill>
    <fill>
      <patternFill patternType="solid">
        <fgColor rgb="FFFFE699"/>
        <bgColor rgb="FFF8CBA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8" min="18" style="0" width="10"/>
    <col collapsed="false" customWidth="true" hidden="false" outlineLevel="0" max="19" min="19" style="0" width="17"/>
    <col collapsed="false" customWidth="true" hidden="false" outlineLevel="0" max="20" min="20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42" hidden="false" customHeight="tru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</row>
    <row r="7" customFormat="false" ht="74.6" hidden="false" customHeight="false" outlineLevel="0" collapsed="false">
      <c r="A7" s="4" t="s">
        <v>24</v>
      </c>
      <c r="B7" s="5" t="n">
        <v>45991</v>
      </c>
      <c r="C7" s="4" t="s">
        <v>25</v>
      </c>
      <c r="D7" s="4" t="s">
        <v>26</v>
      </c>
      <c r="E7" s="4" t="s">
        <v>27</v>
      </c>
      <c r="F7" s="4" t="s">
        <v>28</v>
      </c>
      <c r="G7" s="6" t="n">
        <v>7354.53</v>
      </c>
      <c r="H7" s="6" t="n">
        <v>1737.4</v>
      </c>
      <c r="I7" s="6" t="n">
        <v>115.64</v>
      </c>
      <c r="J7" s="6" t="n">
        <v>5259.21</v>
      </c>
      <c r="K7" s="6" t="n">
        <v>242.28</v>
      </c>
      <c r="L7" s="7" t="n">
        <f aca="false">ROUND(G7-SUM(H7:K7),2)</f>
        <v>0</v>
      </c>
      <c r="M7" s="7"/>
      <c r="N7" s="4"/>
      <c r="O7" s="4"/>
      <c r="P7" s="5"/>
      <c r="Q7" s="4"/>
      <c r="R7" s="7" t="s">
        <v>29</v>
      </c>
      <c r="S7" s="8" t="s">
        <v>30</v>
      </c>
      <c r="T7" s="4" t="s">
        <v>31</v>
      </c>
    </row>
    <row r="8" customFormat="false" ht="22.35" hidden="false" customHeight="false" outlineLevel="0" collapsed="false">
      <c r="A8" s="4" t="s">
        <v>32</v>
      </c>
      <c r="B8" s="5" t="n">
        <v>46053</v>
      </c>
      <c r="C8" s="4" t="s">
        <v>33</v>
      </c>
      <c r="D8" s="4" t="s">
        <v>34</v>
      </c>
      <c r="E8" s="4" t="s">
        <v>35</v>
      </c>
      <c r="F8" s="4" t="s">
        <v>28</v>
      </c>
      <c r="G8" s="6" t="n">
        <v>866.03</v>
      </c>
      <c r="H8" s="6" t="n">
        <v>154.26</v>
      </c>
      <c r="I8" s="6" t="n">
        <v>16.46</v>
      </c>
      <c r="J8" s="6" t="n">
        <v>695.31</v>
      </c>
      <c r="K8" s="6" t="n">
        <v>0</v>
      </c>
      <c r="L8" s="7" t="n">
        <f aca="false">ROUND(G8-SUM(H8:K8),2)</f>
        <v>0</v>
      </c>
      <c r="M8" s="6" t="n">
        <v>866.03</v>
      </c>
      <c r="N8" s="4" t="s">
        <v>28</v>
      </c>
      <c r="O8" s="4" t="s">
        <v>36</v>
      </c>
      <c r="P8" s="5" t="n">
        <v>46114</v>
      </c>
      <c r="Q8" s="4" t="s">
        <v>37</v>
      </c>
      <c r="R8" s="7" t="n">
        <f aca="false">IF(G8="","",G8-N(M8))</f>
        <v>0</v>
      </c>
      <c r="S8" s="9" t="s">
        <v>38</v>
      </c>
      <c r="T8" s="4" t="s">
        <v>39</v>
      </c>
    </row>
    <row r="9" customFormat="false" ht="22.35" hidden="false" customHeight="false" outlineLevel="0" collapsed="false">
      <c r="A9" s="4" t="s">
        <v>40</v>
      </c>
      <c r="B9" s="5" t="n">
        <v>46081</v>
      </c>
      <c r="C9" s="4" t="s">
        <v>41</v>
      </c>
      <c r="D9" s="4" t="s">
        <v>34</v>
      </c>
      <c r="E9" s="4" t="s">
        <v>42</v>
      </c>
      <c r="F9" s="4" t="s">
        <v>28</v>
      </c>
      <c r="G9" s="6" t="n">
        <v>688.63</v>
      </c>
      <c r="H9" s="6" t="n">
        <v>245.52</v>
      </c>
      <c r="I9" s="6" t="n">
        <v>16.46</v>
      </c>
      <c r="J9" s="6" t="n">
        <v>426.65</v>
      </c>
      <c r="K9" s="6" t="n">
        <v>0</v>
      </c>
      <c r="L9" s="7" t="n">
        <f aca="false">ROUND(G9-SUM(H9:K9),2)</f>
        <v>0</v>
      </c>
      <c r="M9" s="6" t="n">
        <v>688.63</v>
      </c>
      <c r="N9" s="4" t="s">
        <v>28</v>
      </c>
      <c r="O9" s="4" t="s">
        <v>36</v>
      </c>
      <c r="P9" s="5" t="n">
        <v>46114</v>
      </c>
      <c r="Q9" s="4" t="s">
        <v>37</v>
      </c>
      <c r="R9" s="7" t="n">
        <f aca="false">IF(G9="","",G9-N(M9))</f>
        <v>0</v>
      </c>
      <c r="S9" s="9" t="s">
        <v>38</v>
      </c>
      <c r="T9" s="4" t="s">
        <v>43</v>
      </c>
    </row>
    <row r="10" customFormat="false" ht="22.35" hidden="false" customHeight="false" outlineLevel="0" collapsed="false">
      <c r="A10" s="4" t="s">
        <v>44</v>
      </c>
      <c r="B10" s="5" t="n">
        <v>46112</v>
      </c>
      <c r="C10" s="4" t="s">
        <v>45</v>
      </c>
      <c r="D10" s="4" t="s">
        <v>34</v>
      </c>
      <c r="E10" s="4" t="s">
        <v>46</v>
      </c>
      <c r="F10" s="4" t="s">
        <v>28</v>
      </c>
      <c r="G10" s="6" t="n">
        <v>1134.3</v>
      </c>
      <c r="H10" s="6" t="n">
        <v>224.52</v>
      </c>
      <c r="I10" s="6" t="n">
        <v>48</v>
      </c>
      <c r="J10" s="6" t="n">
        <v>861.78</v>
      </c>
      <c r="K10" s="6" t="n">
        <v>0</v>
      </c>
      <c r="L10" s="7" t="n">
        <f aca="false">ROUND(G10-SUM(H10:K10),2)</f>
        <v>0</v>
      </c>
      <c r="M10" s="6" t="n">
        <v>1134.3</v>
      </c>
      <c r="N10" s="4" t="s">
        <v>28</v>
      </c>
      <c r="O10" s="4" t="s">
        <v>36</v>
      </c>
      <c r="P10" s="5" t="n">
        <v>46141</v>
      </c>
      <c r="Q10" s="4" t="s">
        <v>47</v>
      </c>
      <c r="R10" s="7" t="n">
        <f aca="false">IF(G10="","",G10-N(M10))</f>
        <v>0</v>
      </c>
      <c r="S10" s="9" t="s">
        <v>38</v>
      </c>
      <c r="T10" s="4" t="s">
        <v>48</v>
      </c>
    </row>
    <row r="11" customFormat="false" ht="22.35" hidden="false" customHeight="false" outlineLevel="0" collapsed="false">
      <c r="A11" s="4" t="s">
        <v>49</v>
      </c>
      <c r="B11" s="5" t="n">
        <v>46142</v>
      </c>
      <c r="C11" s="4" t="s">
        <v>50</v>
      </c>
      <c r="D11" s="4" t="s">
        <v>34</v>
      </c>
      <c r="E11" s="4" t="s">
        <v>51</v>
      </c>
      <c r="F11" s="4" t="s">
        <v>28</v>
      </c>
      <c r="G11" s="6" t="n">
        <v>528.17</v>
      </c>
      <c r="H11" s="6" t="n">
        <v>154.26</v>
      </c>
      <c r="I11" s="6" t="n">
        <v>16.46</v>
      </c>
      <c r="J11" s="6" t="n">
        <v>357.45</v>
      </c>
      <c r="K11" s="6" t="n">
        <v>0</v>
      </c>
      <c r="L11" s="7" t="n">
        <f aca="false">ROUND(G11-SUM(H11:K11),2)</f>
        <v>0</v>
      </c>
      <c r="M11" s="6" t="n">
        <v>528.17</v>
      </c>
      <c r="N11" s="4" t="s">
        <v>28</v>
      </c>
      <c r="O11" s="4" t="s">
        <v>36</v>
      </c>
      <c r="P11" s="5" t="n">
        <v>46176</v>
      </c>
      <c r="Q11" s="4" t="s">
        <v>52</v>
      </c>
      <c r="R11" s="7" t="n">
        <f aca="false">IF(G11="","",G11-N(M11))</f>
        <v>0</v>
      </c>
      <c r="S11" s="9" t="s">
        <v>38</v>
      </c>
      <c r="T11" s="4" t="s">
        <v>53</v>
      </c>
    </row>
    <row r="12" customFormat="false" ht="32.8" hidden="false" customHeight="false" outlineLevel="0" collapsed="false">
      <c r="A12" s="4" t="s">
        <v>54</v>
      </c>
      <c r="B12" s="5" t="s">
        <v>55</v>
      </c>
      <c r="C12" s="4" t="s">
        <v>56</v>
      </c>
      <c r="D12" s="4" t="s">
        <v>57</v>
      </c>
      <c r="E12" s="10" t="s">
        <v>58</v>
      </c>
      <c r="F12" s="4" t="s">
        <v>28</v>
      </c>
      <c r="G12" s="6" t="n">
        <v>316.2</v>
      </c>
      <c r="H12" s="7"/>
      <c r="I12" s="7"/>
      <c r="J12" s="7"/>
      <c r="K12" s="6" t="n">
        <v>316.2</v>
      </c>
      <c r="L12" s="7" t="n">
        <f aca="false">ROUND(G12-SUM(H12:K12),2)</f>
        <v>0</v>
      </c>
      <c r="M12" s="6" t="n">
        <v>316.2</v>
      </c>
      <c r="N12" s="4" t="s">
        <v>28</v>
      </c>
      <c r="O12" s="4" t="s">
        <v>36</v>
      </c>
      <c r="P12" s="5" t="n">
        <v>46135</v>
      </c>
      <c r="Q12" s="4" t="s">
        <v>59</v>
      </c>
      <c r="R12" s="7" t="n">
        <f aca="false">IF(G12="","",G12-N(M12))</f>
        <v>0</v>
      </c>
      <c r="S12" s="10" t="s">
        <v>60</v>
      </c>
      <c r="T12" s="4" t="s">
        <v>61</v>
      </c>
    </row>
    <row r="13" customFormat="false" ht="22.35" hidden="false" customHeight="false" outlineLevel="0" collapsed="false">
      <c r="A13" s="4" t="s">
        <v>62</v>
      </c>
      <c r="B13" s="5" t="s">
        <v>55</v>
      </c>
      <c r="C13" s="4" t="s">
        <v>63</v>
      </c>
      <c r="D13" s="4" t="s">
        <v>34</v>
      </c>
      <c r="E13" s="10" t="s">
        <v>58</v>
      </c>
      <c r="F13" s="4" t="s">
        <v>28</v>
      </c>
      <c r="G13" s="6" t="n">
        <v>519.68</v>
      </c>
      <c r="H13" s="7"/>
      <c r="I13" s="7"/>
      <c r="J13" s="7"/>
      <c r="K13" s="6" t="n">
        <v>519.68</v>
      </c>
      <c r="L13" s="7" t="n">
        <f aca="false">ROUND(G13-SUM(H13:K13),2)</f>
        <v>0</v>
      </c>
      <c r="M13" s="6" t="n">
        <v>519.68</v>
      </c>
      <c r="N13" s="4" t="s">
        <v>28</v>
      </c>
      <c r="O13" s="4" t="s">
        <v>36</v>
      </c>
      <c r="P13" s="5" t="n">
        <v>46203</v>
      </c>
      <c r="Q13" s="4" t="s">
        <v>64</v>
      </c>
      <c r="R13" s="7" t="n">
        <f aca="false">IF(G13="","",G13-N(M13))</f>
        <v>0</v>
      </c>
      <c r="S13" s="10" t="s">
        <v>60</v>
      </c>
      <c r="T13" s="4" t="s">
        <v>65</v>
      </c>
    </row>
    <row r="14" customFormat="false" ht="32.8" hidden="false" customHeight="false" outlineLevel="0" collapsed="false">
      <c r="A14" s="4" t="s">
        <v>66</v>
      </c>
      <c r="B14" s="5" t="s">
        <v>55</v>
      </c>
      <c r="C14" s="4" t="s">
        <v>67</v>
      </c>
      <c r="D14" s="4" t="s">
        <v>34</v>
      </c>
      <c r="E14" s="10" t="s">
        <v>58</v>
      </c>
      <c r="F14" s="4" t="s">
        <v>28</v>
      </c>
      <c r="G14" s="6" t="n">
        <v>1133.26</v>
      </c>
      <c r="H14" s="7"/>
      <c r="I14" s="7"/>
      <c r="J14" s="7"/>
      <c r="K14" s="6" t="n">
        <v>1133.26</v>
      </c>
      <c r="L14" s="7" t="n">
        <f aca="false">ROUND(G14-SUM(H14:K14),2)</f>
        <v>0</v>
      </c>
      <c r="M14" s="6" t="n">
        <v>1133.26</v>
      </c>
      <c r="N14" s="4" t="s">
        <v>28</v>
      </c>
      <c r="O14" s="4" t="s">
        <v>36</v>
      </c>
      <c r="P14" s="5" t="n">
        <v>46217</v>
      </c>
      <c r="Q14" s="4" t="s">
        <v>68</v>
      </c>
      <c r="R14" s="7" t="n">
        <f aca="false">IF(G14="","",G14-N(M14))</f>
        <v>0</v>
      </c>
      <c r="S14" s="10" t="s">
        <v>60</v>
      </c>
      <c r="T14" s="4" t="s">
        <v>69</v>
      </c>
    </row>
    <row r="15" customFormat="false" ht="32.8" hidden="false" customHeight="false" outlineLevel="0" collapsed="false">
      <c r="A15" s="4" t="s">
        <v>70</v>
      </c>
      <c r="B15" s="5" t="s">
        <v>55</v>
      </c>
      <c r="C15" s="4" t="s">
        <v>67</v>
      </c>
      <c r="D15" s="4" t="s">
        <v>71</v>
      </c>
      <c r="E15" s="10" t="s">
        <v>58</v>
      </c>
      <c r="F15" s="4" t="s">
        <v>28</v>
      </c>
      <c r="G15" s="6" t="n">
        <v>2594.28</v>
      </c>
      <c r="H15" s="7"/>
      <c r="I15" s="7"/>
      <c r="J15" s="7"/>
      <c r="K15" s="6" t="n">
        <v>2594.28</v>
      </c>
      <c r="L15" s="7" t="n">
        <f aca="false">ROUND(G15-SUM(H15:K15),2)</f>
        <v>0</v>
      </c>
      <c r="M15" s="6" t="n">
        <v>2594.28</v>
      </c>
      <c r="N15" s="4" t="s">
        <v>28</v>
      </c>
      <c r="O15" s="4" t="s">
        <v>36</v>
      </c>
      <c r="P15" s="5" t="n">
        <v>46226</v>
      </c>
      <c r="Q15" s="4" t="s">
        <v>72</v>
      </c>
      <c r="R15" s="7" t="n">
        <f aca="false">IF(G15="","",G15-N(M15))</f>
        <v>0</v>
      </c>
      <c r="S15" s="10" t="s">
        <v>60</v>
      </c>
      <c r="T15" s="4" t="s">
        <v>73</v>
      </c>
    </row>
    <row r="16" customFormat="false" ht="32.8" hidden="false" customHeight="false" outlineLevel="0" collapsed="false">
      <c r="A16" s="4" t="s">
        <v>74</v>
      </c>
      <c r="B16" s="5" t="s">
        <v>55</v>
      </c>
      <c r="C16" s="4" t="s">
        <v>75</v>
      </c>
      <c r="D16" s="4" t="s">
        <v>76</v>
      </c>
      <c r="E16" s="10" t="s">
        <v>58</v>
      </c>
      <c r="F16" s="4" t="s">
        <v>28</v>
      </c>
      <c r="G16" s="6" t="n">
        <v>5331.84</v>
      </c>
      <c r="H16" s="7"/>
      <c r="I16" s="7"/>
      <c r="J16" s="7"/>
      <c r="K16" s="6" t="n">
        <v>5331.84</v>
      </c>
      <c r="L16" s="7" t="n">
        <f aca="false">ROUND(G16-SUM(H16:K16),2)</f>
        <v>0</v>
      </c>
      <c r="M16" s="6" t="n">
        <v>5331.84</v>
      </c>
      <c r="N16" s="4" t="s">
        <v>28</v>
      </c>
      <c r="O16" s="4" t="s">
        <v>36</v>
      </c>
      <c r="P16" s="5" t="n">
        <v>46245</v>
      </c>
      <c r="Q16" s="4" t="s">
        <v>77</v>
      </c>
      <c r="R16" s="7" t="n">
        <f aca="false">IF(G16="","",G16-N(M16))</f>
        <v>0</v>
      </c>
      <c r="S16" s="10" t="s">
        <v>60</v>
      </c>
      <c r="T16" s="4" t="s">
        <v>69</v>
      </c>
    </row>
    <row r="17" customFormat="false" ht="32.8" hidden="false" customHeight="false" outlineLevel="0" collapsed="false">
      <c r="A17" s="4" t="s">
        <v>78</v>
      </c>
      <c r="B17" s="5" t="s">
        <v>55</v>
      </c>
      <c r="C17" s="4" t="s">
        <v>79</v>
      </c>
      <c r="D17" s="4" t="s">
        <v>34</v>
      </c>
      <c r="E17" s="10" t="s">
        <v>58</v>
      </c>
      <c r="F17" s="4" t="s">
        <v>28</v>
      </c>
      <c r="G17" s="6" t="n">
        <v>1078.73</v>
      </c>
      <c r="H17" s="7"/>
      <c r="I17" s="7"/>
      <c r="J17" s="7"/>
      <c r="K17" s="6" t="n">
        <v>1078.73</v>
      </c>
      <c r="L17" s="7" t="n">
        <f aca="false">ROUND(G17-SUM(H17:K17),2)</f>
        <v>0</v>
      </c>
      <c r="M17" s="6" t="n">
        <v>1078.73</v>
      </c>
      <c r="N17" s="4" t="s">
        <v>28</v>
      </c>
      <c r="O17" s="4" t="s">
        <v>36</v>
      </c>
      <c r="P17" s="5" t="n">
        <v>46265</v>
      </c>
      <c r="Q17" s="4" t="s">
        <v>80</v>
      </c>
      <c r="R17" s="7" t="n">
        <f aca="false">IF(G17="","",G17-N(M17))</f>
        <v>0</v>
      </c>
      <c r="S17" s="10" t="s">
        <v>60</v>
      </c>
      <c r="T17" s="4" t="s">
        <v>69</v>
      </c>
    </row>
    <row r="18" customFormat="false" ht="22.35" hidden="false" customHeight="false" outlineLevel="0" collapsed="false">
      <c r="A18" s="4" t="s">
        <v>81</v>
      </c>
      <c r="B18" s="5" t="s">
        <v>55</v>
      </c>
      <c r="C18" s="4" t="s">
        <v>82</v>
      </c>
      <c r="D18" s="4" t="s">
        <v>34</v>
      </c>
      <c r="E18" s="10" t="s">
        <v>58</v>
      </c>
      <c r="F18" s="4" t="s">
        <v>28</v>
      </c>
      <c r="G18" s="6" t="n">
        <v>1345.17</v>
      </c>
      <c r="H18" s="7"/>
      <c r="I18" s="7"/>
      <c r="J18" s="7"/>
      <c r="K18" s="6" t="n">
        <v>1345.17</v>
      </c>
      <c r="L18" s="7" t="n">
        <f aca="false">ROUND(G18-SUM(H18:K18),2)</f>
        <v>0</v>
      </c>
      <c r="M18" s="6" t="n">
        <v>1345.17</v>
      </c>
      <c r="N18" s="4" t="s">
        <v>28</v>
      </c>
      <c r="O18" s="4" t="s">
        <v>36</v>
      </c>
      <c r="P18" s="5" t="n">
        <v>46295</v>
      </c>
      <c r="Q18" s="4" t="s">
        <v>83</v>
      </c>
      <c r="R18" s="7" t="n">
        <f aca="false">IF(G18="","",G18-N(M18))</f>
        <v>0</v>
      </c>
      <c r="S18" s="10" t="s">
        <v>60</v>
      </c>
      <c r="T18" s="4" t="s">
        <v>84</v>
      </c>
    </row>
    <row r="20" customFormat="false" ht="27.75" hidden="false" customHeight="true" outlineLevel="0" collapsed="false">
      <c r="A20" s="11" t="s">
        <v>85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customFormat="false" ht="32.8" hidden="false" customHeight="false" outlineLevel="0" collapsed="false">
      <c r="A21" s="4" t="s">
        <v>86</v>
      </c>
      <c r="B21" s="5" t="n">
        <v>46053</v>
      </c>
      <c r="C21" s="4" t="s">
        <v>87</v>
      </c>
      <c r="D21" s="4" t="s">
        <v>88</v>
      </c>
      <c r="E21" s="4" t="s">
        <v>89</v>
      </c>
      <c r="F21" s="4" t="s">
        <v>28</v>
      </c>
      <c r="G21" s="6" t="n">
        <v>24.87</v>
      </c>
      <c r="H21" s="7"/>
      <c r="I21" s="7"/>
      <c r="J21" s="7"/>
      <c r="K21" s="6" t="n">
        <v>24.87</v>
      </c>
      <c r="L21" s="7" t="n">
        <f aca="false">ROUND(G21-SUM(H21:K21),2)</f>
        <v>0</v>
      </c>
      <c r="M21" s="6" t="n">
        <v>24.87</v>
      </c>
      <c r="N21" s="4" t="s">
        <v>28</v>
      </c>
      <c r="O21" s="4" t="s">
        <v>90</v>
      </c>
      <c r="P21" s="5" t="n">
        <v>46090</v>
      </c>
      <c r="Q21" s="4" t="s">
        <v>91</v>
      </c>
      <c r="R21" s="7" t="n">
        <f aca="false">G21-N(M21)</f>
        <v>0</v>
      </c>
      <c r="S21" s="9" t="s">
        <v>92</v>
      </c>
      <c r="T21" s="4" t="s">
        <v>93</v>
      </c>
    </row>
    <row r="22" customFormat="false" ht="32.8" hidden="false" customHeight="false" outlineLevel="0" collapsed="false">
      <c r="A22" s="4" t="s">
        <v>94</v>
      </c>
      <c r="B22" s="5" t="n">
        <v>46053</v>
      </c>
      <c r="C22" s="4" t="s">
        <v>87</v>
      </c>
      <c r="D22" s="4" t="s">
        <v>88</v>
      </c>
      <c r="E22" s="4" t="s">
        <v>89</v>
      </c>
      <c r="F22" s="4" t="s">
        <v>28</v>
      </c>
      <c r="G22" s="6" t="n">
        <v>16.89</v>
      </c>
      <c r="H22" s="7"/>
      <c r="I22" s="7"/>
      <c r="J22" s="7"/>
      <c r="K22" s="6" t="n">
        <v>16.89</v>
      </c>
      <c r="L22" s="7" t="n">
        <f aca="false">ROUND(G22-SUM(H22:K22),2)</f>
        <v>0</v>
      </c>
      <c r="M22" s="6" t="n">
        <v>16.89</v>
      </c>
      <c r="N22" s="4" t="s">
        <v>28</v>
      </c>
      <c r="O22" s="4" t="s">
        <v>90</v>
      </c>
      <c r="P22" s="5" t="n">
        <v>46090</v>
      </c>
      <c r="Q22" s="4" t="s">
        <v>91</v>
      </c>
      <c r="R22" s="7" t="n">
        <f aca="false">G22-N(M22)</f>
        <v>0</v>
      </c>
      <c r="S22" s="9" t="s">
        <v>92</v>
      </c>
      <c r="T22" s="4" t="s">
        <v>95</v>
      </c>
    </row>
    <row r="23" customFormat="false" ht="32.8" hidden="false" customHeight="false" outlineLevel="0" collapsed="false">
      <c r="A23" s="4" t="s">
        <v>96</v>
      </c>
      <c r="B23" s="5" t="n">
        <v>46081</v>
      </c>
      <c r="C23" s="4" t="s">
        <v>97</v>
      </c>
      <c r="D23" s="4" t="s">
        <v>88</v>
      </c>
      <c r="E23" s="4" t="s">
        <v>98</v>
      </c>
      <c r="F23" s="4" t="s">
        <v>28</v>
      </c>
      <c r="G23" s="6" t="n">
        <v>5790.98</v>
      </c>
      <c r="H23" s="7"/>
      <c r="I23" s="7"/>
      <c r="J23" s="7"/>
      <c r="K23" s="6" t="n">
        <v>5790.98</v>
      </c>
      <c r="L23" s="7" t="n">
        <f aca="false">ROUND(G23-SUM(H23:K23),2)</f>
        <v>0</v>
      </c>
      <c r="M23" s="6" t="n">
        <v>5790.98</v>
      </c>
      <c r="N23" s="4" t="s">
        <v>28</v>
      </c>
      <c r="O23" s="4" t="s">
        <v>90</v>
      </c>
      <c r="P23" s="5" t="n">
        <v>46090</v>
      </c>
      <c r="Q23" s="4" t="s">
        <v>91</v>
      </c>
      <c r="R23" s="7" t="n">
        <f aca="false">G23-N(M23)</f>
        <v>0</v>
      </c>
      <c r="S23" s="9" t="s">
        <v>92</v>
      </c>
      <c r="T23" s="4" t="s">
        <v>99</v>
      </c>
    </row>
    <row r="24" customFormat="false" ht="32.8" hidden="false" customHeight="false" outlineLevel="0" collapsed="false">
      <c r="A24" s="4" t="s">
        <v>100</v>
      </c>
      <c r="B24" s="5" t="n">
        <v>46112</v>
      </c>
      <c r="C24" s="4" t="s">
        <v>101</v>
      </c>
      <c r="D24" s="4" t="s">
        <v>88</v>
      </c>
      <c r="E24" s="4" t="s">
        <v>102</v>
      </c>
      <c r="F24" s="4" t="s">
        <v>28</v>
      </c>
      <c r="G24" s="6" t="n">
        <v>6561.58</v>
      </c>
      <c r="H24" s="7"/>
      <c r="I24" s="7"/>
      <c r="J24" s="7"/>
      <c r="K24" s="6" t="n">
        <v>6561.58</v>
      </c>
      <c r="L24" s="7" t="n">
        <f aca="false">ROUND(G24-SUM(H24:K24),2)</f>
        <v>0</v>
      </c>
      <c r="M24" s="6" t="n">
        <v>6561.58</v>
      </c>
      <c r="N24" s="4" t="s">
        <v>28</v>
      </c>
      <c r="O24" s="4" t="s">
        <v>90</v>
      </c>
      <c r="P24" s="5" t="n">
        <v>46122</v>
      </c>
      <c r="Q24" s="4" t="s">
        <v>103</v>
      </c>
      <c r="R24" s="7" t="n">
        <f aca="false">G24-N(M24)</f>
        <v>0</v>
      </c>
      <c r="S24" s="9" t="s">
        <v>92</v>
      </c>
      <c r="T24" s="4" t="s">
        <v>104</v>
      </c>
    </row>
    <row r="25" customFormat="false" ht="32.8" hidden="false" customHeight="false" outlineLevel="0" collapsed="false">
      <c r="A25" s="4" t="s">
        <v>105</v>
      </c>
      <c r="B25" s="5" t="n">
        <v>46142</v>
      </c>
      <c r="C25" s="4" t="s">
        <v>106</v>
      </c>
      <c r="D25" s="4" t="s">
        <v>88</v>
      </c>
      <c r="E25" s="4" t="s">
        <v>107</v>
      </c>
      <c r="F25" s="4" t="s">
        <v>28</v>
      </c>
      <c r="G25" s="6" t="n">
        <v>153.3</v>
      </c>
      <c r="H25" s="7"/>
      <c r="I25" s="7"/>
      <c r="J25" s="7"/>
      <c r="K25" s="6" t="n">
        <v>153.3</v>
      </c>
      <c r="L25" s="7" t="n">
        <f aca="false">ROUND(G25-SUM(H25:K25),2)</f>
        <v>0</v>
      </c>
      <c r="M25" s="6" t="n">
        <v>153.3</v>
      </c>
      <c r="N25" s="4" t="s">
        <v>28</v>
      </c>
      <c r="O25" s="4" t="s">
        <v>108</v>
      </c>
      <c r="P25" s="5" t="n">
        <v>46142</v>
      </c>
      <c r="Q25" s="4" t="s">
        <v>106</v>
      </c>
      <c r="R25" s="7" t="n">
        <f aca="false">G25-N(M25)</f>
        <v>0</v>
      </c>
      <c r="S25" s="9" t="s">
        <v>109</v>
      </c>
      <c r="T25" s="4" t="s">
        <v>110</v>
      </c>
    </row>
    <row r="26" customFormat="false" ht="32.8" hidden="false" customHeight="false" outlineLevel="0" collapsed="false">
      <c r="A26" s="4" t="s">
        <v>111</v>
      </c>
      <c r="B26" s="5" t="n">
        <v>46173</v>
      </c>
      <c r="C26" s="4" t="s">
        <v>112</v>
      </c>
      <c r="D26" s="4" t="s">
        <v>88</v>
      </c>
      <c r="E26" s="4" t="s">
        <v>113</v>
      </c>
      <c r="F26" s="4" t="s">
        <v>28</v>
      </c>
      <c r="G26" s="6" t="n">
        <v>-19.24</v>
      </c>
      <c r="H26" s="7"/>
      <c r="I26" s="7"/>
      <c r="J26" s="7"/>
      <c r="K26" s="6" t="n">
        <v>-19.24</v>
      </c>
      <c r="L26" s="7" t="n">
        <f aca="false">ROUND(G26-SUM(H26:K26),2)</f>
        <v>0</v>
      </c>
      <c r="M26" s="7"/>
      <c r="N26" s="4"/>
      <c r="O26" s="4"/>
      <c r="P26" s="5"/>
      <c r="Q26" s="4"/>
      <c r="R26" s="7" t="n">
        <f aca="false">G26-N(M26)</f>
        <v>-19.24</v>
      </c>
      <c r="S26" s="12" t="s">
        <v>114</v>
      </c>
      <c r="T26" s="4" t="s">
        <v>115</v>
      </c>
    </row>
    <row r="27" customFormat="false" ht="32.8" hidden="false" customHeight="false" outlineLevel="0" collapsed="false">
      <c r="A27" s="4" t="s">
        <v>116</v>
      </c>
      <c r="B27" s="5" t="n">
        <v>46203</v>
      </c>
      <c r="C27" s="4" t="s">
        <v>117</v>
      </c>
      <c r="D27" s="4" t="s">
        <v>88</v>
      </c>
      <c r="E27" s="4" t="s">
        <v>118</v>
      </c>
      <c r="F27" s="4" t="s">
        <v>28</v>
      </c>
      <c r="G27" s="6" t="n">
        <v>97.79</v>
      </c>
      <c r="H27" s="7"/>
      <c r="I27" s="7"/>
      <c r="J27" s="7"/>
      <c r="K27" s="6" t="n">
        <v>97.79</v>
      </c>
      <c r="L27" s="7" t="n">
        <f aca="false">ROUND(G27-SUM(H27:K27),2)</f>
        <v>0</v>
      </c>
      <c r="M27" s="6" t="n">
        <v>97.79</v>
      </c>
      <c r="N27" s="4" t="s">
        <v>28</v>
      </c>
      <c r="O27" s="4" t="s">
        <v>108</v>
      </c>
      <c r="P27" s="5" t="n">
        <v>46203</v>
      </c>
      <c r="Q27" s="4" t="s">
        <v>117</v>
      </c>
      <c r="R27" s="7" t="n">
        <f aca="false">G27-N(M27)</f>
        <v>0</v>
      </c>
      <c r="S27" s="9" t="s">
        <v>109</v>
      </c>
      <c r="T27" s="4" t="s">
        <v>119</v>
      </c>
    </row>
    <row r="28" customFormat="false" ht="32.8" hidden="false" customHeight="false" outlineLevel="0" collapsed="false">
      <c r="A28" s="4" t="s">
        <v>120</v>
      </c>
      <c r="B28" s="5" t="n">
        <v>46234</v>
      </c>
      <c r="C28" s="4" t="s">
        <v>121</v>
      </c>
      <c r="D28" s="4" t="s">
        <v>88</v>
      </c>
      <c r="E28" s="4" t="s">
        <v>122</v>
      </c>
      <c r="F28" s="4" t="s">
        <v>28</v>
      </c>
      <c r="G28" s="6" t="n">
        <v>-82.1</v>
      </c>
      <c r="H28" s="7"/>
      <c r="I28" s="7"/>
      <c r="J28" s="7"/>
      <c r="K28" s="6" t="n">
        <v>-82.1</v>
      </c>
      <c r="L28" s="7" t="n">
        <f aca="false">ROUND(G28-SUM(H28:K28),2)</f>
        <v>0</v>
      </c>
      <c r="M28" s="7"/>
      <c r="N28" s="4"/>
      <c r="O28" s="4"/>
      <c r="P28" s="5"/>
      <c r="Q28" s="4"/>
      <c r="R28" s="7" t="n">
        <f aca="false">G28-N(M28)</f>
        <v>-82.1</v>
      </c>
      <c r="S28" s="12" t="s">
        <v>114</v>
      </c>
      <c r="T28" s="4" t="s">
        <v>123</v>
      </c>
    </row>
    <row r="29" customFormat="false" ht="32.8" hidden="false" customHeight="false" outlineLevel="0" collapsed="false">
      <c r="A29" s="4" t="s">
        <v>124</v>
      </c>
      <c r="B29" s="5" t="n">
        <v>46234</v>
      </c>
      <c r="C29" s="4" t="s">
        <v>121</v>
      </c>
      <c r="D29" s="4" t="s">
        <v>88</v>
      </c>
      <c r="E29" s="4" t="s">
        <v>122</v>
      </c>
      <c r="F29" s="4" t="s">
        <v>28</v>
      </c>
      <c r="G29" s="6" t="n">
        <v>-48.28</v>
      </c>
      <c r="H29" s="7"/>
      <c r="I29" s="7"/>
      <c r="J29" s="7"/>
      <c r="K29" s="6" t="n">
        <v>-48.28</v>
      </c>
      <c r="L29" s="7" t="n">
        <f aca="false">ROUND(G29-SUM(H29:K29),2)</f>
        <v>0</v>
      </c>
      <c r="M29" s="7"/>
      <c r="N29" s="4"/>
      <c r="O29" s="4"/>
      <c r="P29" s="5"/>
      <c r="Q29" s="4"/>
      <c r="R29" s="7" t="n">
        <f aca="false">G29-N(M29)</f>
        <v>-48.28</v>
      </c>
      <c r="S29" s="12" t="s">
        <v>114</v>
      </c>
      <c r="T29" s="4" t="s">
        <v>125</v>
      </c>
    </row>
    <row r="30" customFormat="false" ht="32.8" hidden="false" customHeight="false" outlineLevel="0" collapsed="false">
      <c r="A30" s="4" t="s">
        <v>126</v>
      </c>
      <c r="B30" s="5" t="n">
        <v>46265</v>
      </c>
      <c r="C30" s="4" t="s">
        <v>127</v>
      </c>
      <c r="D30" s="4" t="s">
        <v>88</v>
      </c>
      <c r="E30" s="4" t="s">
        <v>128</v>
      </c>
      <c r="F30" s="4" t="s">
        <v>28</v>
      </c>
      <c r="G30" s="6" t="n">
        <v>-126.38</v>
      </c>
      <c r="H30" s="7"/>
      <c r="I30" s="7"/>
      <c r="J30" s="7"/>
      <c r="K30" s="6" t="n">
        <v>-126.38</v>
      </c>
      <c r="L30" s="7" t="n">
        <f aca="false">ROUND(G30-SUM(H30:K30),2)</f>
        <v>0</v>
      </c>
      <c r="M30" s="7"/>
      <c r="N30" s="4"/>
      <c r="O30" s="4"/>
      <c r="P30" s="5"/>
      <c r="Q30" s="4"/>
      <c r="R30" s="7" t="n">
        <f aca="false">G30-N(M30)</f>
        <v>-126.38</v>
      </c>
      <c r="S30" s="12" t="s">
        <v>114</v>
      </c>
      <c r="T30" s="4" t="s">
        <v>129</v>
      </c>
    </row>
    <row r="32" customFormat="false" ht="30" hidden="false" customHeight="true" outlineLevel="0" collapsed="false">
      <c r="D32" s="13" t="s">
        <v>130</v>
      </c>
      <c r="G32" s="14" t="n">
        <f aca="false">SUM(G8:G18)+SUM(G21:G30)</f>
        <v>27905.7</v>
      </c>
      <c r="H32" s="14" t="n">
        <f aca="false">SUM(H8:H18)+SUM(H21:H30)</f>
        <v>778.56</v>
      </c>
      <c r="I32" s="14" t="n">
        <f aca="false">SUM(I8:I18)+SUM(I21:I30)</f>
        <v>97.38</v>
      </c>
      <c r="J32" s="14" t="n">
        <f aca="false">SUM(J8:J18)+SUM(J21:J30)</f>
        <v>2341.19</v>
      </c>
      <c r="K32" s="14" t="n">
        <f aca="false">SUM(K8:K18)+SUM(K21:K30)</f>
        <v>24688.57</v>
      </c>
      <c r="L32" s="14" t="n">
        <f aca="false">SUM(L7:L30)</f>
        <v>0</v>
      </c>
      <c r="M32" s="14" t="n">
        <f aca="false">SUM(M8:M18)+SUM(M21:M30)</f>
        <v>28181.7</v>
      </c>
      <c r="R32" s="14" t="n">
        <f aca="false">SUM(R8:R18)+SUM(R21:R30)</f>
        <v>-276</v>
      </c>
      <c r="T32" s="4" t="s">
        <v>131</v>
      </c>
    </row>
  </sheetData>
  <mergeCells count="1">
    <mergeCell ref="A20:T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6" min="5" style="0" width="30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6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22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5"/>
    <col collapsed="false" customWidth="true" hidden="false" outlineLevel="0" max="20" min="20" style="0" width="55"/>
  </cols>
  <sheetData>
    <row r="1" customFormat="false" ht="16.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3" customFormat="false" ht="15" hidden="false" customHeight="false" outlineLevel="0" collapsed="false">
      <c r="A3" s="2" t="s">
        <v>134</v>
      </c>
    </row>
    <row r="4" customFormat="false" ht="15" hidden="false" customHeight="false" outlineLevel="0" collapsed="false">
      <c r="A4" s="2" t="s">
        <v>135</v>
      </c>
    </row>
    <row r="6" customFormat="false" ht="42" hidden="false" customHeight="true" outlineLevel="0" collapsed="false">
      <c r="A6" s="3" t="s">
        <v>4</v>
      </c>
      <c r="B6" s="3" t="s">
        <v>5</v>
      </c>
      <c r="C6" s="3" t="s">
        <v>136</v>
      </c>
      <c r="D6" s="3" t="s">
        <v>6</v>
      </c>
      <c r="E6" s="3" t="s">
        <v>137</v>
      </c>
      <c r="F6" s="3" t="s">
        <v>8</v>
      </c>
      <c r="G6" s="3" t="s">
        <v>9</v>
      </c>
      <c r="H6" s="3" t="s">
        <v>10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  <c r="O6" s="3" t="s">
        <v>144</v>
      </c>
      <c r="P6" s="3" t="s">
        <v>20</v>
      </c>
      <c r="Q6" s="3" t="s">
        <v>145</v>
      </c>
      <c r="R6" s="3" t="s">
        <v>21</v>
      </c>
      <c r="S6" s="3" t="s">
        <v>22</v>
      </c>
      <c r="T6" s="3" t="s">
        <v>23</v>
      </c>
    </row>
    <row r="7" customFormat="false" ht="22.35" hidden="false" customHeight="false" outlineLevel="0" collapsed="false">
      <c r="A7" s="4" t="s">
        <v>146</v>
      </c>
      <c r="B7" s="5" t="n">
        <v>46023</v>
      </c>
      <c r="C7" s="4" t="s">
        <v>147</v>
      </c>
      <c r="D7" s="4" t="s">
        <v>148</v>
      </c>
      <c r="E7" s="4" t="s">
        <v>149</v>
      </c>
      <c r="F7" s="4" t="s">
        <v>150</v>
      </c>
      <c r="G7" s="4" t="s">
        <v>151</v>
      </c>
      <c r="H7" s="6" t="n">
        <v>491.24</v>
      </c>
      <c r="I7" s="7"/>
      <c r="J7" s="7"/>
      <c r="K7" s="4" t="s">
        <v>152</v>
      </c>
      <c r="L7" s="6" t="n">
        <v>652.15</v>
      </c>
      <c r="M7" s="4" t="s">
        <v>153</v>
      </c>
      <c r="N7" s="4" t="s">
        <v>154</v>
      </c>
      <c r="O7" s="5" t="n">
        <v>46036</v>
      </c>
      <c r="P7" s="4" t="s">
        <v>155</v>
      </c>
      <c r="Q7" s="6" t="n">
        <v>491.24</v>
      </c>
      <c r="R7" s="7" t="n">
        <f aca="false">ROUND(H7-N(J7)-N(Q7),2)</f>
        <v>0</v>
      </c>
      <c r="S7" s="9" t="s">
        <v>156</v>
      </c>
      <c r="T7" s="4"/>
    </row>
    <row r="8" customFormat="false" ht="22.35" hidden="false" customHeight="false" outlineLevel="0" collapsed="false">
      <c r="A8" s="4" t="s">
        <v>157</v>
      </c>
      <c r="B8" s="5" t="n">
        <v>46028</v>
      </c>
      <c r="C8" s="4" t="s">
        <v>158</v>
      </c>
      <c r="D8" s="4" t="s">
        <v>159</v>
      </c>
      <c r="E8" s="4" t="s">
        <v>160</v>
      </c>
      <c r="F8" s="4" t="s">
        <v>161</v>
      </c>
      <c r="G8" s="4" t="s">
        <v>162</v>
      </c>
      <c r="H8" s="6" t="n">
        <v>75.17</v>
      </c>
      <c r="I8" s="7"/>
      <c r="J8" s="7"/>
      <c r="K8" s="4" t="s">
        <v>163</v>
      </c>
      <c r="L8" s="6" t="n">
        <v>8.28</v>
      </c>
      <c r="M8" s="4" t="s">
        <v>28</v>
      </c>
      <c r="N8" s="4" t="s">
        <v>36</v>
      </c>
      <c r="O8" s="5" t="n">
        <v>46028</v>
      </c>
      <c r="P8" s="4" t="s">
        <v>164</v>
      </c>
      <c r="Q8" s="6" t="n">
        <v>75.17</v>
      </c>
      <c r="R8" s="7" t="n">
        <f aca="false">ROUND(H8-N(J8)-N(Q8),2)</f>
        <v>0</v>
      </c>
      <c r="S8" s="9" t="s">
        <v>156</v>
      </c>
      <c r="T8" s="4" t="s">
        <v>165</v>
      </c>
    </row>
    <row r="9" customFormat="false" ht="22.35" hidden="false" customHeight="false" outlineLevel="0" collapsed="false">
      <c r="A9" s="4" t="s">
        <v>166</v>
      </c>
      <c r="B9" s="5" t="n">
        <v>46029</v>
      </c>
      <c r="C9" s="4" t="s">
        <v>158</v>
      </c>
      <c r="D9" s="4" t="s">
        <v>159</v>
      </c>
      <c r="E9" s="4" t="s">
        <v>167</v>
      </c>
      <c r="F9" s="4" t="s">
        <v>168</v>
      </c>
      <c r="G9" s="4" t="s">
        <v>162</v>
      </c>
      <c r="H9" s="6" t="n">
        <v>72</v>
      </c>
      <c r="I9" s="7"/>
      <c r="J9" s="7"/>
      <c r="K9" s="4" t="s">
        <v>163</v>
      </c>
      <c r="L9" s="6" t="n">
        <v>7.94</v>
      </c>
      <c r="M9" s="4" t="s">
        <v>28</v>
      </c>
      <c r="N9" s="4" t="s">
        <v>36</v>
      </c>
      <c r="O9" s="5" t="n">
        <v>46028</v>
      </c>
      <c r="P9" s="4" t="s">
        <v>169</v>
      </c>
      <c r="Q9" s="6" t="n">
        <v>72</v>
      </c>
      <c r="R9" s="7" t="n">
        <f aca="false">ROUND(H9-N(J9)-N(Q9),2)</f>
        <v>0</v>
      </c>
      <c r="S9" s="9" t="s">
        <v>156</v>
      </c>
      <c r="T9" s="4" t="s">
        <v>170</v>
      </c>
    </row>
    <row r="10" customFormat="false" ht="32.8" hidden="false" customHeight="false" outlineLevel="0" collapsed="false">
      <c r="A10" s="4" t="s">
        <v>171</v>
      </c>
      <c r="B10" s="5" t="n">
        <v>46042</v>
      </c>
      <c r="C10" s="4" t="s">
        <v>172</v>
      </c>
      <c r="D10" s="4" t="s">
        <v>173</v>
      </c>
      <c r="E10" s="4" t="s">
        <v>174</v>
      </c>
      <c r="F10" s="4" t="s">
        <v>175</v>
      </c>
      <c r="G10" s="4" t="s">
        <v>151</v>
      </c>
      <c r="H10" s="6" t="n">
        <v>294.08</v>
      </c>
      <c r="I10" s="6" t="n">
        <v>24.28</v>
      </c>
      <c r="J10" s="7"/>
      <c r="K10" s="4" t="s">
        <v>152</v>
      </c>
      <c r="L10" s="6" t="n">
        <v>252.16</v>
      </c>
      <c r="M10" s="4" t="s">
        <v>28</v>
      </c>
      <c r="N10" s="4" t="s">
        <v>36</v>
      </c>
      <c r="O10" s="5" t="n">
        <v>46043</v>
      </c>
      <c r="P10" s="4" t="s">
        <v>176</v>
      </c>
      <c r="Q10" s="6" t="n">
        <v>294.08</v>
      </c>
      <c r="R10" s="7" t="n">
        <f aca="false">ROUND(H10-N(J10)-N(Q10),2)</f>
        <v>0</v>
      </c>
      <c r="S10" s="9" t="s">
        <v>156</v>
      </c>
      <c r="T10" s="4" t="s">
        <v>177</v>
      </c>
    </row>
    <row r="11" customFormat="false" ht="22.35" hidden="false" customHeight="false" outlineLevel="0" collapsed="false">
      <c r="A11" s="4" t="s">
        <v>178</v>
      </c>
      <c r="B11" s="5" t="n">
        <v>46042</v>
      </c>
      <c r="C11" s="4" t="s">
        <v>179</v>
      </c>
      <c r="D11" s="4" t="s">
        <v>180</v>
      </c>
      <c r="E11" s="4" t="s">
        <v>181</v>
      </c>
      <c r="F11" s="4" t="s">
        <v>182</v>
      </c>
      <c r="G11" s="4" t="s">
        <v>28</v>
      </c>
      <c r="H11" s="6" t="n">
        <v>83.32</v>
      </c>
      <c r="I11" s="7"/>
      <c r="J11" s="7"/>
      <c r="K11" s="4" t="s">
        <v>183</v>
      </c>
      <c r="L11" s="6" t="n">
        <v>83.32</v>
      </c>
      <c r="M11" s="4" t="s">
        <v>28</v>
      </c>
      <c r="N11" s="4" t="s">
        <v>36</v>
      </c>
      <c r="O11" s="5" t="n">
        <v>46153</v>
      </c>
      <c r="P11" s="4" t="s">
        <v>184</v>
      </c>
      <c r="Q11" s="6" t="n">
        <v>83.32</v>
      </c>
      <c r="R11" s="7" t="n">
        <f aca="false">ROUND(H11-N(J11)-N(Q11),2)</f>
        <v>0</v>
      </c>
      <c r="S11" s="9" t="s">
        <v>156</v>
      </c>
      <c r="T11" s="4" t="s">
        <v>185</v>
      </c>
    </row>
    <row r="12" customFormat="false" ht="22.35" hidden="false" customHeight="false" outlineLevel="0" collapsed="false">
      <c r="A12" s="4" t="s">
        <v>186</v>
      </c>
      <c r="B12" s="5" t="n">
        <v>46048</v>
      </c>
      <c r="C12" s="4" t="s">
        <v>179</v>
      </c>
      <c r="D12" s="4" t="s">
        <v>187</v>
      </c>
      <c r="E12" s="4" t="s">
        <v>188</v>
      </c>
      <c r="F12" s="4" t="s">
        <v>189</v>
      </c>
      <c r="G12" s="4" t="s">
        <v>28</v>
      </c>
      <c r="H12" s="6" t="n">
        <v>38.21</v>
      </c>
      <c r="I12" s="7"/>
      <c r="J12" s="7"/>
      <c r="K12" s="4" t="s">
        <v>183</v>
      </c>
      <c r="L12" s="6" t="n">
        <v>38.21</v>
      </c>
      <c r="M12" s="4" t="s">
        <v>28</v>
      </c>
      <c r="N12" s="4" t="s">
        <v>36</v>
      </c>
      <c r="O12" s="5" t="n">
        <v>46153</v>
      </c>
      <c r="P12" s="4" t="s">
        <v>184</v>
      </c>
      <c r="Q12" s="6" t="n">
        <v>38.21</v>
      </c>
      <c r="R12" s="7" t="n">
        <f aca="false">ROUND(H12-N(J12)-N(Q12),2)</f>
        <v>0</v>
      </c>
      <c r="S12" s="9" t="s">
        <v>156</v>
      </c>
      <c r="T12" s="4" t="s">
        <v>190</v>
      </c>
    </row>
    <row r="13" customFormat="false" ht="32.8" hidden="false" customHeight="false" outlineLevel="0" collapsed="false">
      <c r="A13" s="4" t="s">
        <v>191</v>
      </c>
      <c r="B13" s="5" t="n">
        <v>46053</v>
      </c>
      <c r="C13" s="4" t="s">
        <v>192</v>
      </c>
      <c r="D13" s="4" t="s">
        <v>193</v>
      </c>
      <c r="E13" s="4" t="s">
        <v>194</v>
      </c>
      <c r="F13" s="4" t="s">
        <v>195</v>
      </c>
      <c r="G13" s="4" t="s">
        <v>28</v>
      </c>
      <c r="H13" s="6" t="n">
        <v>1000</v>
      </c>
      <c r="I13" s="7"/>
      <c r="J13" s="7"/>
      <c r="K13" s="4" t="s">
        <v>196</v>
      </c>
      <c r="L13" s="7"/>
      <c r="M13" s="4"/>
      <c r="N13" s="4"/>
      <c r="O13" s="5"/>
      <c r="P13" s="4"/>
      <c r="Q13" s="6" t="n">
        <v>0</v>
      </c>
      <c r="R13" s="7" t="n">
        <f aca="false">ROUND(H13-N(J13)-N(Q13),2)</f>
        <v>1000</v>
      </c>
      <c r="S13" s="10" t="s">
        <v>197</v>
      </c>
      <c r="T13" s="4" t="s">
        <v>198</v>
      </c>
    </row>
    <row r="14" customFormat="false" ht="32.8" hidden="false" customHeight="false" outlineLevel="0" collapsed="false">
      <c r="A14" s="4" t="s">
        <v>199</v>
      </c>
      <c r="B14" s="5" t="n">
        <v>46053</v>
      </c>
      <c r="C14" s="4" t="s">
        <v>88</v>
      </c>
      <c r="D14" s="4" t="s">
        <v>200</v>
      </c>
      <c r="E14" s="4" t="s">
        <v>201</v>
      </c>
      <c r="F14" s="4" t="s">
        <v>202</v>
      </c>
      <c r="G14" s="4" t="s">
        <v>28</v>
      </c>
      <c r="H14" s="6" t="n">
        <v>379.52</v>
      </c>
      <c r="I14" s="7"/>
      <c r="J14" s="7"/>
      <c r="K14" s="4" t="s">
        <v>203</v>
      </c>
      <c r="L14" s="6" t="n">
        <v>379.52</v>
      </c>
      <c r="M14" s="4" t="s">
        <v>28</v>
      </c>
      <c r="N14" s="4" t="s">
        <v>108</v>
      </c>
      <c r="O14" s="5" t="n">
        <v>46090</v>
      </c>
      <c r="P14" s="4" t="s">
        <v>91</v>
      </c>
      <c r="Q14" s="6" t="n">
        <v>379.52</v>
      </c>
      <c r="R14" s="7" t="n">
        <f aca="false">ROUND(H14-N(J14)-N(Q14),2)</f>
        <v>0</v>
      </c>
      <c r="S14" s="9" t="s">
        <v>92</v>
      </c>
      <c r="T14" s="4" t="s">
        <v>204</v>
      </c>
    </row>
    <row r="15" customFormat="false" ht="22.35" hidden="false" customHeight="false" outlineLevel="0" collapsed="false">
      <c r="A15" s="4" t="s">
        <v>205</v>
      </c>
      <c r="B15" s="5" t="n">
        <v>46054</v>
      </c>
      <c r="C15" s="4" t="s">
        <v>147</v>
      </c>
      <c r="D15" s="4" t="s">
        <v>206</v>
      </c>
      <c r="E15" s="4" t="s">
        <v>207</v>
      </c>
      <c r="F15" s="4" t="s">
        <v>208</v>
      </c>
      <c r="G15" s="4" t="s">
        <v>151</v>
      </c>
      <c r="H15" s="6" t="n">
        <v>491.24</v>
      </c>
      <c r="I15" s="7"/>
      <c r="J15" s="7"/>
      <c r="K15" s="4" t="s">
        <v>152</v>
      </c>
      <c r="L15" s="6" t="n">
        <v>624.46</v>
      </c>
      <c r="M15" s="4" t="s">
        <v>153</v>
      </c>
      <c r="N15" s="4" t="s">
        <v>154</v>
      </c>
      <c r="O15" s="5" t="n">
        <v>46056</v>
      </c>
      <c r="P15" s="4" t="s">
        <v>209</v>
      </c>
      <c r="Q15" s="6" t="n">
        <v>491.24</v>
      </c>
      <c r="R15" s="7" t="n">
        <f aca="false">ROUND(H15-N(J15)-N(Q15),2)</f>
        <v>0</v>
      </c>
      <c r="S15" s="9" t="s">
        <v>156</v>
      </c>
      <c r="T15" s="4"/>
    </row>
    <row r="16" customFormat="false" ht="22.35" hidden="false" customHeight="false" outlineLevel="0" collapsed="false">
      <c r="A16" s="4" t="s">
        <v>210</v>
      </c>
      <c r="B16" s="5" t="n">
        <v>46058</v>
      </c>
      <c r="C16" s="4" t="s">
        <v>211</v>
      </c>
      <c r="D16" s="4" t="s">
        <v>212</v>
      </c>
      <c r="E16" s="4" t="s">
        <v>213</v>
      </c>
      <c r="F16" s="4" t="s">
        <v>214</v>
      </c>
      <c r="G16" s="4" t="s">
        <v>151</v>
      </c>
      <c r="H16" s="6" t="n">
        <v>46.5</v>
      </c>
      <c r="I16" s="7"/>
      <c r="J16" s="7"/>
      <c r="K16" s="4" t="s">
        <v>196</v>
      </c>
      <c r="L16" s="6" t="n">
        <v>46.5</v>
      </c>
      <c r="M16" s="4" t="s">
        <v>151</v>
      </c>
      <c r="N16" s="4" t="s">
        <v>215</v>
      </c>
      <c r="O16" s="5" t="n">
        <v>46139</v>
      </c>
      <c r="P16" s="4" t="s">
        <v>216</v>
      </c>
      <c r="Q16" s="6" t="n">
        <v>46.5</v>
      </c>
      <c r="R16" s="7" t="n">
        <f aca="false">ROUND(H16-N(J16)-N(Q16),2)</f>
        <v>0</v>
      </c>
      <c r="S16" s="9" t="s">
        <v>156</v>
      </c>
      <c r="T16" s="4" t="s">
        <v>217</v>
      </c>
    </row>
    <row r="17" customFormat="false" ht="22.35" hidden="false" customHeight="false" outlineLevel="0" collapsed="false">
      <c r="A17" s="4" t="s">
        <v>218</v>
      </c>
      <c r="B17" s="5" t="n">
        <v>46059</v>
      </c>
      <c r="C17" s="4" t="s">
        <v>179</v>
      </c>
      <c r="D17" s="4" t="s">
        <v>219</v>
      </c>
      <c r="E17" s="4" t="s">
        <v>220</v>
      </c>
      <c r="F17" s="4" t="s">
        <v>221</v>
      </c>
      <c r="G17" s="4" t="s">
        <v>28</v>
      </c>
      <c r="H17" s="6" t="n">
        <v>54.97</v>
      </c>
      <c r="I17" s="7"/>
      <c r="J17" s="7"/>
      <c r="K17" s="4" t="s">
        <v>183</v>
      </c>
      <c r="L17" s="6" t="n">
        <v>66.05</v>
      </c>
      <c r="M17" s="4" t="s">
        <v>151</v>
      </c>
      <c r="N17" s="4" t="s">
        <v>215</v>
      </c>
      <c r="O17" s="5" t="n">
        <v>46065</v>
      </c>
      <c r="P17" s="4" t="s">
        <v>222</v>
      </c>
      <c r="Q17" s="6" t="n">
        <v>54.97</v>
      </c>
      <c r="R17" s="7" t="n">
        <f aca="false">ROUND(H17-N(J17)-N(Q17),2)</f>
        <v>0</v>
      </c>
      <c r="S17" s="9" t="s">
        <v>156</v>
      </c>
      <c r="T17" s="4" t="s">
        <v>223</v>
      </c>
    </row>
    <row r="18" customFormat="false" ht="22.35" hidden="false" customHeight="false" outlineLevel="0" collapsed="false">
      <c r="A18" s="4" t="s">
        <v>224</v>
      </c>
      <c r="B18" s="5" t="n">
        <v>46064</v>
      </c>
      <c r="C18" s="4" t="s">
        <v>179</v>
      </c>
      <c r="D18" s="4" t="s">
        <v>225</v>
      </c>
      <c r="E18" s="4" t="s">
        <v>226</v>
      </c>
      <c r="F18" s="4" t="s">
        <v>227</v>
      </c>
      <c r="G18" s="4" t="s">
        <v>28</v>
      </c>
      <c r="H18" s="6" t="n">
        <v>76.89</v>
      </c>
      <c r="I18" s="7"/>
      <c r="J18" s="7"/>
      <c r="K18" s="4" t="s">
        <v>183</v>
      </c>
      <c r="L18" s="6" t="n">
        <v>92.2</v>
      </c>
      <c r="M18" s="4" t="s">
        <v>151</v>
      </c>
      <c r="N18" s="4" t="s">
        <v>215</v>
      </c>
      <c r="O18" s="5" t="n">
        <v>46065</v>
      </c>
      <c r="P18" s="4" t="s">
        <v>228</v>
      </c>
      <c r="Q18" s="6" t="n">
        <v>76.89</v>
      </c>
      <c r="R18" s="7" t="n">
        <f aca="false">ROUND(H18-N(J18)-N(Q18),2)</f>
        <v>0</v>
      </c>
      <c r="S18" s="9" t="s">
        <v>156</v>
      </c>
      <c r="T18" s="4" t="s">
        <v>229</v>
      </c>
    </row>
    <row r="19" customFormat="false" ht="22.35" hidden="false" customHeight="false" outlineLevel="0" collapsed="false">
      <c r="A19" s="4" t="s">
        <v>230</v>
      </c>
      <c r="B19" s="5" t="n">
        <v>46070</v>
      </c>
      <c r="C19" s="4" t="s">
        <v>179</v>
      </c>
      <c r="D19" s="4" t="s">
        <v>231</v>
      </c>
      <c r="E19" s="4" t="s">
        <v>232</v>
      </c>
      <c r="F19" s="4" t="s">
        <v>233</v>
      </c>
      <c r="G19" s="4" t="s">
        <v>28</v>
      </c>
      <c r="H19" s="6" t="n">
        <v>209.79</v>
      </c>
      <c r="I19" s="7"/>
      <c r="J19" s="7"/>
      <c r="K19" s="4" t="s">
        <v>183</v>
      </c>
      <c r="L19" s="6" t="n">
        <v>209.79</v>
      </c>
      <c r="M19" s="4" t="s">
        <v>28</v>
      </c>
      <c r="N19" s="4" t="s">
        <v>36</v>
      </c>
      <c r="O19" s="5" t="n">
        <v>46153</v>
      </c>
      <c r="P19" s="4" t="s">
        <v>184</v>
      </c>
      <c r="Q19" s="6" t="n">
        <v>209.79</v>
      </c>
      <c r="R19" s="7" t="n">
        <f aca="false">ROUND(H19-N(J19)-N(Q19),2)</f>
        <v>0</v>
      </c>
      <c r="S19" s="9" t="s">
        <v>156</v>
      </c>
      <c r="T19" s="4" t="s">
        <v>234</v>
      </c>
    </row>
    <row r="20" customFormat="false" ht="32.8" hidden="false" customHeight="false" outlineLevel="0" collapsed="false">
      <c r="A20" s="4" t="s">
        <v>235</v>
      </c>
      <c r="B20" s="5" t="n">
        <v>46073</v>
      </c>
      <c r="C20" s="4" t="s">
        <v>172</v>
      </c>
      <c r="D20" s="4" t="s">
        <v>236</v>
      </c>
      <c r="E20" s="4" t="s">
        <v>237</v>
      </c>
      <c r="F20" s="4" t="s">
        <v>238</v>
      </c>
      <c r="G20" s="4" t="s">
        <v>151</v>
      </c>
      <c r="H20" s="6" t="n">
        <v>294.08</v>
      </c>
      <c r="I20" s="6" t="n">
        <v>24.28</v>
      </c>
      <c r="J20" s="7"/>
      <c r="K20" s="4" t="s">
        <v>152</v>
      </c>
      <c r="L20" s="6" t="n">
        <v>294.08</v>
      </c>
      <c r="M20" s="4" t="s">
        <v>151</v>
      </c>
      <c r="N20" s="4" t="s">
        <v>215</v>
      </c>
      <c r="O20" s="5" t="n">
        <v>46074</v>
      </c>
      <c r="P20" s="4" t="s">
        <v>239</v>
      </c>
      <c r="Q20" s="6" t="n">
        <v>294.08</v>
      </c>
      <c r="R20" s="7" t="n">
        <f aca="false">ROUND(H20-N(J20)-N(Q20),2)</f>
        <v>0</v>
      </c>
      <c r="S20" s="9" t="s">
        <v>156</v>
      </c>
      <c r="T20" s="4"/>
    </row>
    <row r="21" customFormat="false" ht="32.8" hidden="false" customHeight="false" outlineLevel="0" collapsed="false">
      <c r="A21" s="4" t="s">
        <v>240</v>
      </c>
      <c r="B21" s="5" t="n">
        <v>46079</v>
      </c>
      <c r="C21" s="4" t="s">
        <v>241</v>
      </c>
      <c r="D21" s="4" t="s">
        <v>242</v>
      </c>
      <c r="E21" s="4" t="s">
        <v>243</v>
      </c>
      <c r="F21" s="4" t="s">
        <v>244</v>
      </c>
      <c r="G21" s="4" t="s">
        <v>153</v>
      </c>
      <c r="H21" s="6" t="n">
        <v>27.52</v>
      </c>
      <c r="I21" s="7"/>
      <c r="J21" s="7"/>
      <c r="K21" s="4" t="s">
        <v>152</v>
      </c>
      <c r="L21" s="6" t="n">
        <v>20.81</v>
      </c>
      <c r="M21" s="4" t="s">
        <v>151</v>
      </c>
      <c r="N21" s="4" t="s">
        <v>215</v>
      </c>
      <c r="O21" s="5" t="n">
        <v>46079</v>
      </c>
      <c r="P21" s="4" t="s">
        <v>245</v>
      </c>
      <c r="Q21" s="6" t="n">
        <v>27.52</v>
      </c>
      <c r="R21" s="7" t="n">
        <f aca="false">ROUND(H21-N(J21)-N(Q21),2)</f>
        <v>0</v>
      </c>
      <c r="S21" s="9" t="s">
        <v>156</v>
      </c>
      <c r="T21" s="4" t="s">
        <v>246</v>
      </c>
    </row>
    <row r="22" customFormat="false" ht="32.8" hidden="false" customHeight="false" outlineLevel="0" collapsed="false">
      <c r="A22" s="4" t="s">
        <v>247</v>
      </c>
      <c r="B22" s="5" t="n">
        <v>46081</v>
      </c>
      <c r="C22" s="4" t="s">
        <v>192</v>
      </c>
      <c r="D22" s="4" t="s">
        <v>248</v>
      </c>
      <c r="E22" s="4" t="s">
        <v>249</v>
      </c>
      <c r="F22" s="4" t="s">
        <v>250</v>
      </c>
      <c r="G22" s="4" t="s">
        <v>28</v>
      </c>
      <c r="H22" s="6" t="n">
        <v>1000</v>
      </c>
      <c r="I22" s="7"/>
      <c r="J22" s="7"/>
      <c r="K22" s="4" t="s">
        <v>196</v>
      </c>
      <c r="L22" s="7"/>
      <c r="M22" s="4"/>
      <c r="N22" s="4"/>
      <c r="O22" s="5"/>
      <c r="P22" s="4"/>
      <c r="Q22" s="6" t="n">
        <v>0</v>
      </c>
      <c r="R22" s="7" t="n">
        <f aca="false">ROUND(H22-N(J22)-N(Q22),2)</f>
        <v>1000</v>
      </c>
      <c r="S22" s="10" t="s">
        <v>197</v>
      </c>
      <c r="T22" s="4" t="s">
        <v>251</v>
      </c>
    </row>
    <row r="23" customFormat="false" ht="32.8" hidden="false" customHeight="false" outlineLevel="0" collapsed="false">
      <c r="A23" s="4" t="s">
        <v>252</v>
      </c>
      <c r="B23" s="5" t="n">
        <v>46081</v>
      </c>
      <c r="C23" s="4" t="s">
        <v>88</v>
      </c>
      <c r="D23" s="4" t="s">
        <v>253</v>
      </c>
      <c r="E23" s="4" t="s">
        <v>254</v>
      </c>
      <c r="F23" s="4" t="s">
        <v>255</v>
      </c>
      <c r="G23" s="4" t="s">
        <v>28</v>
      </c>
      <c r="H23" s="6" t="n">
        <v>249.1</v>
      </c>
      <c r="I23" s="7"/>
      <c r="J23" s="7"/>
      <c r="K23" s="4" t="s">
        <v>256</v>
      </c>
      <c r="L23" s="6" t="n">
        <v>249.1</v>
      </c>
      <c r="M23" s="4" t="s">
        <v>28</v>
      </c>
      <c r="N23" s="4" t="s">
        <v>108</v>
      </c>
      <c r="O23" s="5" t="n">
        <v>46090</v>
      </c>
      <c r="P23" s="4" t="s">
        <v>91</v>
      </c>
      <c r="Q23" s="6" t="n">
        <v>249.1</v>
      </c>
      <c r="R23" s="7" t="n">
        <f aca="false">ROUND(H23-N(J23)-N(Q23),2)</f>
        <v>0</v>
      </c>
      <c r="S23" s="9" t="s">
        <v>92</v>
      </c>
      <c r="T23" s="4"/>
    </row>
    <row r="24" customFormat="false" ht="22.35" hidden="false" customHeight="false" outlineLevel="0" collapsed="false">
      <c r="A24" s="4" t="s">
        <v>257</v>
      </c>
      <c r="B24" s="5" t="n">
        <v>46082</v>
      </c>
      <c r="C24" s="4" t="s">
        <v>147</v>
      </c>
      <c r="D24" s="4" t="s">
        <v>258</v>
      </c>
      <c r="E24" s="4" t="s">
        <v>259</v>
      </c>
      <c r="F24" s="4" t="s">
        <v>260</v>
      </c>
      <c r="G24" s="4" t="s">
        <v>151</v>
      </c>
      <c r="H24" s="6" t="n">
        <v>491.24</v>
      </c>
      <c r="I24" s="7"/>
      <c r="J24" s="7"/>
      <c r="K24" s="4" t="s">
        <v>152</v>
      </c>
      <c r="L24" s="6" t="n">
        <v>622.7</v>
      </c>
      <c r="M24" s="4" t="s">
        <v>153</v>
      </c>
      <c r="N24" s="4" t="s">
        <v>154</v>
      </c>
      <c r="O24" s="5" t="n">
        <v>46084</v>
      </c>
      <c r="P24" s="4" t="s">
        <v>261</v>
      </c>
      <c r="Q24" s="6" t="n">
        <v>491.24</v>
      </c>
      <c r="R24" s="7" t="n">
        <f aca="false">ROUND(H24-N(J24)-N(Q24),2)</f>
        <v>0</v>
      </c>
      <c r="S24" s="9" t="s">
        <v>156</v>
      </c>
      <c r="T24" s="4"/>
    </row>
    <row r="25" customFormat="false" ht="22.35" hidden="false" customHeight="false" outlineLevel="0" collapsed="false">
      <c r="A25" s="4" t="s">
        <v>262</v>
      </c>
      <c r="B25" s="5" t="n">
        <v>46087</v>
      </c>
      <c r="C25" s="4" t="s">
        <v>211</v>
      </c>
      <c r="D25" s="4" t="s">
        <v>263</v>
      </c>
      <c r="E25" s="4" t="s">
        <v>264</v>
      </c>
      <c r="F25" s="4" t="s">
        <v>265</v>
      </c>
      <c r="G25" s="4" t="s">
        <v>151</v>
      </c>
      <c r="H25" s="6" t="n">
        <v>232.5</v>
      </c>
      <c r="I25" s="7"/>
      <c r="J25" s="7"/>
      <c r="K25" s="4" t="s">
        <v>196</v>
      </c>
      <c r="L25" s="6" t="n">
        <v>232.5</v>
      </c>
      <c r="M25" s="4" t="s">
        <v>151</v>
      </c>
      <c r="N25" s="4" t="s">
        <v>215</v>
      </c>
      <c r="O25" s="5" t="n">
        <v>46139</v>
      </c>
      <c r="P25" s="4" t="s">
        <v>216</v>
      </c>
      <c r="Q25" s="6" t="n">
        <v>232.5</v>
      </c>
      <c r="R25" s="7" t="n">
        <f aca="false">ROUND(H25-N(J25)-N(Q25),2)</f>
        <v>0</v>
      </c>
      <c r="S25" s="9" t="s">
        <v>156</v>
      </c>
      <c r="T25" s="4" t="s">
        <v>266</v>
      </c>
    </row>
    <row r="26" customFormat="false" ht="32.8" hidden="false" customHeight="false" outlineLevel="0" collapsed="false">
      <c r="A26" s="4" t="s">
        <v>267</v>
      </c>
      <c r="B26" s="5" t="n">
        <v>46097</v>
      </c>
      <c r="C26" s="4" t="s">
        <v>268</v>
      </c>
      <c r="D26" s="4" t="s">
        <v>269</v>
      </c>
      <c r="E26" s="4" t="s">
        <v>270</v>
      </c>
      <c r="F26" s="4" t="s">
        <v>271</v>
      </c>
      <c r="G26" s="4" t="s">
        <v>151</v>
      </c>
      <c r="H26" s="6" t="n">
        <v>676.96</v>
      </c>
      <c r="I26" s="6" t="n">
        <v>61.54</v>
      </c>
      <c r="J26" s="7"/>
      <c r="K26" s="4" t="s">
        <v>272</v>
      </c>
      <c r="L26" s="7"/>
      <c r="M26" s="4"/>
      <c r="N26" s="4"/>
      <c r="O26" s="5"/>
      <c r="P26" s="4"/>
      <c r="Q26" s="6" t="n">
        <v>0</v>
      </c>
      <c r="R26" s="7" t="n">
        <f aca="false">ROUND(H26-N(J26)-N(Q26),2)</f>
        <v>676.96</v>
      </c>
      <c r="S26" s="10" t="s">
        <v>197</v>
      </c>
      <c r="T26" s="4" t="s">
        <v>273</v>
      </c>
    </row>
    <row r="27" customFormat="false" ht="32.8" hidden="false" customHeight="false" outlineLevel="0" collapsed="false">
      <c r="A27" s="4" t="s">
        <v>274</v>
      </c>
      <c r="B27" s="5" t="n">
        <v>46097</v>
      </c>
      <c r="C27" s="4" t="s">
        <v>268</v>
      </c>
      <c r="D27" s="4" t="s">
        <v>275</v>
      </c>
      <c r="E27" s="4" t="s">
        <v>276</v>
      </c>
      <c r="F27" s="4" t="s">
        <v>277</v>
      </c>
      <c r="G27" s="4" t="s">
        <v>151</v>
      </c>
      <c r="H27" s="6" t="n">
        <v>676.96</v>
      </c>
      <c r="I27" s="6" t="n">
        <v>61.54</v>
      </c>
      <c r="J27" s="7"/>
      <c r="K27" s="4" t="s">
        <v>272</v>
      </c>
      <c r="L27" s="7"/>
      <c r="M27" s="4"/>
      <c r="N27" s="4"/>
      <c r="O27" s="5"/>
      <c r="P27" s="4"/>
      <c r="Q27" s="6" t="n">
        <v>0</v>
      </c>
      <c r="R27" s="7" t="n">
        <f aca="false">ROUND(H27-N(J27)-N(Q27),2)</f>
        <v>676.96</v>
      </c>
      <c r="S27" s="10" t="s">
        <v>197</v>
      </c>
      <c r="T27" s="4" t="s">
        <v>278</v>
      </c>
    </row>
    <row r="28" customFormat="false" ht="32.8" hidden="false" customHeight="false" outlineLevel="0" collapsed="false">
      <c r="A28" s="4" t="s">
        <v>279</v>
      </c>
      <c r="B28" s="5" t="n">
        <v>46101</v>
      </c>
      <c r="C28" s="4" t="s">
        <v>172</v>
      </c>
      <c r="D28" s="4" t="s">
        <v>280</v>
      </c>
      <c r="E28" s="4" t="s">
        <v>281</v>
      </c>
      <c r="F28" s="4" t="s">
        <v>282</v>
      </c>
      <c r="G28" s="4" t="s">
        <v>151</v>
      </c>
      <c r="H28" s="6" t="n">
        <v>294.08</v>
      </c>
      <c r="I28" s="6" t="n">
        <v>24.28</v>
      </c>
      <c r="J28" s="7"/>
      <c r="K28" s="4" t="s">
        <v>152</v>
      </c>
      <c r="L28" s="6" t="n">
        <v>255.34</v>
      </c>
      <c r="M28" s="4" t="s">
        <v>28</v>
      </c>
      <c r="N28" s="4" t="s">
        <v>36</v>
      </c>
      <c r="O28" s="5" t="n">
        <v>46102</v>
      </c>
      <c r="P28" s="4" t="s">
        <v>283</v>
      </c>
      <c r="Q28" s="6" t="n">
        <v>294.08</v>
      </c>
      <c r="R28" s="7" t="n">
        <f aca="false">ROUND(H28-N(J28)-N(Q28),2)</f>
        <v>0</v>
      </c>
      <c r="S28" s="9" t="s">
        <v>156</v>
      </c>
      <c r="T28" s="4"/>
    </row>
    <row r="29" customFormat="false" ht="32.8" hidden="false" customHeight="false" outlineLevel="0" collapsed="false">
      <c r="A29" s="4" t="s">
        <v>284</v>
      </c>
      <c r="B29" s="5" t="n">
        <v>46112</v>
      </c>
      <c r="C29" s="4" t="s">
        <v>192</v>
      </c>
      <c r="D29" s="4" t="s">
        <v>285</v>
      </c>
      <c r="E29" s="4" t="s">
        <v>286</v>
      </c>
      <c r="F29" s="4" t="s">
        <v>287</v>
      </c>
      <c r="G29" s="4" t="s">
        <v>28</v>
      </c>
      <c r="H29" s="6" t="n">
        <v>1000</v>
      </c>
      <c r="I29" s="7"/>
      <c r="J29" s="7"/>
      <c r="K29" s="4" t="s">
        <v>196</v>
      </c>
      <c r="L29" s="7"/>
      <c r="M29" s="4"/>
      <c r="N29" s="4"/>
      <c r="O29" s="5"/>
      <c r="P29" s="4"/>
      <c r="Q29" s="6" t="n">
        <v>0</v>
      </c>
      <c r="R29" s="7" t="n">
        <f aca="false">ROUND(H29-N(J29)-N(Q29),2)</f>
        <v>1000</v>
      </c>
      <c r="S29" s="10" t="s">
        <v>197</v>
      </c>
      <c r="T29" s="4" t="s">
        <v>251</v>
      </c>
    </row>
    <row r="30" customFormat="false" ht="32.8" hidden="false" customHeight="false" outlineLevel="0" collapsed="false">
      <c r="A30" s="4" t="s">
        <v>288</v>
      </c>
      <c r="B30" s="5" t="n">
        <v>46112</v>
      </c>
      <c r="C30" s="4" t="s">
        <v>88</v>
      </c>
      <c r="D30" s="4" t="s">
        <v>289</v>
      </c>
      <c r="E30" s="4" t="s">
        <v>290</v>
      </c>
      <c r="F30" s="4" t="s">
        <v>291</v>
      </c>
      <c r="G30" s="4" t="s">
        <v>28</v>
      </c>
      <c r="H30" s="6" t="n">
        <v>251.92</v>
      </c>
      <c r="I30" s="7"/>
      <c r="J30" s="7"/>
      <c r="K30" s="4" t="s">
        <v>256</v>
      </c>
      <c r="L30" s="6" t="n">
        <v>251.92</v>
      </c>
      <c r="M30" s="4" t="s">
        <v>28</v>
      </c>
      <c r="N30" s="4" t="s">
        <v>108</v>
      </c>
      <c r="O30" s="5" t="n">
        <v>46122</v>
      </c>
      <c r="P30" s="4" t="s">
        <v>103</v>
      </c>
      <c r="Q30" s="6" t="n">
        <v>251.92</v>
      </c>
      <c r="R30" s="7" t="n">
        <f aca="false">ROUND(H30-N(J30)-N(Q30),2)</f>
        <v>0</v>
      </c>
      <c r="S30" s="9" t="s">
        <v>92</v>
      </c>
      <c r="T30" s="4"/>
    </row>
    <row r="31" customFormat="false" ht="32.8" hidden="false" customHeight="false" outlineLevel="0" collapsed="false">
      <c r="A31" s="4" t="s">
        <v>292</v>
      </c>
      <c r="B31" s="5" t="n">
        <v>46113</v>
      </c>
      <c r="C31" s="4" t="s">
        <v>147</v>
      </c>
      <c r="D31" s="4" t="s">
        <v>58</v>
      </c>
      <c r="E31" s="4" t="s">
        <v>293</v>
      </c>
      <c r="F31" s="10" t="s">
        <v>294</v>
      </c>
      <c r="G31" s="4" t="s">
        <v>151</v>
      </c>
      <c r="H31" s="6" t="n">
        <v>491.24</v>
      </c>
      <c r="I31" s="7"/>
      <c r="J31" s="7"/>
      <c r="K31" s="4" t="s">
        <v>152</v>
      </c>
      <c r="L31" s="6" t="n">
        <v>632.52</v>
      </c>
      <c r="M31" s="4" t="s">
        <v>153</v>
      </c>
      <c r="N31" s="4" t="s">
        <v>154</v>
      </c>
      <c r="O31" s="5" t="n">
        <v>46122</v>
      </c>
      <c r="P31" s="4" t="s">
        <v>295</v>
      </c>
      <c r="Q31" s="6" t="n">
        <v>491.24</v>
      </c>
      <c r="R31" s="7" t="n">
        <f aca="false">ROUND(H31-N(J31)-N(Q31),2)</f>
        <v>0</v>
      </c>
      <c r="S31" s="10" t="s">
        <v>60</v>
      </c>
      <c r="T31" s="4" t="s">
        <v>296</v>
      </c>
    </row>
    <row r="32" customFormat="false" ht="22.35" hidden="false" customHeight="false" outlineLevel="0" collapsed="false">
      <c r="A32" s="4" t="s">
        <v>297</v>
      </c>
      <c r="B32" s="5" t="n">
        <v>46122</v>
      </c>
      <c r="C32" s="4" t="s">
        <v>211</v>
      </c>
      <c r="D32" s="4" t="s">
        <v>298</v>
      </c>
      <c r="E32" s="4" t="s">
        <v>299</v>
      </c>
      <c r="F32" s="4" t="s">
        <v>300</v>
      </c>
      <c r="G32" s="4" t="s">
        <v>151</v>
      </c>
      <c r="H32" s="6" t="n">
        <v>654</v>
      </c>
      <c r="I32" s="7"/>
      <c r="J32" s="7"/>
      <c r="K32" s="4" t="s">
        <v>196</v>
      </c>
      <c r="L32" s="7"/>
      <c r="M32" s="4"/>
      <c r="N32" s="4"/>
      <c r="O32" s="5"/>
      <c r="P32" s="4"/>
      <c r="Q32" s="6" t="n">
        <v>0</v>
      </c>
      <c r="R32" s="7" t="n">
        <f aca="false">ROUND(H32-N(J32)-N(Q32),2)</f>
        <v>654</v>
      </c>
      <c r="S32" s="10" t="s">
        <v>197</v>
      </c>
      <c r="T32" s="4" t="s">
        <v>301</v>
      </c>
    </row>
    <row r="33" customFormat="false" ht="32.8" hidden="false" customHeight="false" outlineLevel="0" collapsed="false">
      <c r="A33" s="4" t="s">
        <v>302</v>
      </c>
      <c r="B33" s="5" t="n">
        <v>46132</v>
      </c>
      <c r="C33" s="4" t="s">
        <v>172</v>
      </c>
      <c r="D33" s="4" t="s">
        <v>303</v>
      </c>
      <c r="E33" s="4" t="s">
        <v>304</v>
      </c>
      <c r="F33" s="4" t="s">
        <v>305</v>
      </c>
      <c r="G33" s="4" t="s">
        <v>151</v>
      </c>
      <c r="H33" s="6" t="n">
        <v>294.08</v>
      </c>
      <c r="I33" s="6" t="n">
        <v>24.28</v>
      </c>
      <c r="J33" s="7"/>
      <c r="K33" s="4" t="s">
        <v>152</v>
      </c>
      <c r="L33" s="6" t="n">
        <v>294.08</v>
      </c>
      <c r="M33" s="4" t="s">
        <v>151</v>
      </c>
      <c r="N33" s="4" t="s">
        <v>215</v>
      </c>
      <c r="O33" s="5" t="n">
        <v>46133</v>
      </c>
      <c r="P33" s="4" t="s">
        <v>306</v>
      </c>
      <c r="Q33" s="6" t="n">
        <v>294.08</v>
      </c>
      <c r="R33" s="7" t="n">
        <f aca="false">ROUND(H33-N(J33)-N(Q33),2)</f>
        <v>0</v>
      </c>
      <c r="S33" s="9" t="s">
        <v>156</v>
      </c>
      <c r="T33" s="4"/>
    </row>
    <row r="34" customFormat="false" ht="32.8" hidden="false" customHeight="false" outlineLevel="0" collapsed="false">
      <c r="A34" s="4" t="s">
        <v>307</v>
      </c>
      <c r="B34" s="5" t="n">
        <v>46142</v>
      </c>
      <c r="C34" s="4" t="s">
        <v>192</v>
      </c>
      <c r="D34" s="4" t="s">
        <v>308</v>
      </c>
      <c r="E34" s="4" t="s">
        <v>309</v>
      </c>
      <c r="F34" s="4" t="s">
        <v>310</v>
      </c>
      <c r="G34" s="4" t="s">
        <v>28</v>
      </c>
      <c r="H34" s="6" t="n">
        <v>1000</v>
      </c>
      <c r="I34" s="7"/>
      <c r="J34" s="7"/>
      <c r="K34" s="4" t="s">
        <v>196</v>
      </c>
      <c r="L34" s="7"/>
      <c r="M34" s="4"/>
      <c r="N34" s="4"/>
      <c r="O34" s="5"/>
      <c r="P34" s="4"/>
      <c r="Q34" s="6" t="n">
        <v>0</v>
      </c>
      <c r="R34" s="7" t="n">
        <f aca="false">ROUND(H34-N(J34)-N(Q34),2)</f>
        <v>1000</v>
      </c>
      <c r="S34" s="10" t="s">
        <v>197</v>
      </c>
      <c r="T34" s="4" t="s">
        <v>251</v>
      </c>
    </row>
    <row r="35" customFormat="false" ht="32.8" hidden="false" customHeight="false" outlineLevel="0" collapsed="false">
      <c r="A35" s="4" t="s">
        <v>311</v>
      </c>
      <c r="B35" s="5" t="n">
        <v>46142</v>
      </c>
      <c r="C35" s="4" t="s">
        <v>88</v>
      </c>
      <c r="D35" s="4" t="s">
        <v>312</v>
      </c>
      <c r="E35" s="4" t="s">
        <v>313</v>
      </c>
      <c r="F35" s="4" t="s">
        <v>314</v>
      </c>
      <c r="G35" s="4" t="s">
        <v>28</v>
      </c>
      <c r="H35" s="6" t="n">
        <v>248.6</v>
      </c>
      <c r="I35" s="7"/>
      <c r="J35" s="7"/>
      <c r="K35" s="4" t="s">
        <v>256</v>
      </c>
      <c r="L35" s="6" t="n">
        <v>153.3</v>
      </c>
      <c r="M35" s="4" t="s">
        <v>28</v>
      </c>
      <c r="N35" s="4" t="s">
        <v>108</v>
      </c>
      <c r="O35" s="5" t="n">
        <v>46142</v>
      </c>
      <c r="P35" s="4" t="s">
        <v>106</v>
      </c>
      <c r="Q35" s="6" t="n">
        <v>153.3</v>
      </c>
      <c r="R35" s="7" t="n">
        <f aca="false">ROUND(H35-N(J35)-N(Q35),2)</f>
        <v>95.3</v>
      </c>
      <c r="S35" s="12" t="s">
        <v>114</v>
      </c>
      <c r="T35" s="4" t="s">
        <v>315</v>
      </c>
    </row>
    <row r="36" customFormat="false" ht="22.35" hidden="false" customHeight="false" outlineLevel="0" collapsed="false">
      <c r="A36" s="4" t="s">
        <v>316</v>
      </c>
      <c r="B36" s="5" t="n">
        <v>46143</v>
      </c>
      <c r="C36" s="4" t="s">
        <v>147</v>
      </c>
      <c r="D36" s="4" t="s">
        <v>317</v>
      </c>
      <c r="E36" s="4" t="s">
        <v>318</v>
      </c>
      <c r="F36" s="4" t="s">
        <v>319</v>
      </c>
      <c r="G36" s="4" t="s">
        <v>151</v>
      </c>
      <c r="H36" s="6" t="n">
        <v>491.24</v>
      </c>
      <c r="I36" s="7"/>
      <c r="J36" s="6" t="n">
        <v>47.54</v>
      </c>
      <c r="K36" s="4" t="s">
        <v>152</v>
      </c>
      <c r="L36" s="6" t="n">
        <v>384.21</v>
      </c>
      <c r="M36" s="4" t="s">
        <v>28</v>
      </c>
      <c r="N36" s="4" t="s">
        <v>36</v>
      </c>
      <c r="O36" s="5" t="n">
        <v>46251</v>
      </c>
      <c r="P36" s="4" t="s">
        <v>320</v>
      </c>
      <c r="Q36" s="6" t="n">
        <v>443.7</v>
      </c>
      <c r="R36" s="7" t="n">
        <f aca="false">ROUND(H36-N(J36)-N(Q36),2)</f>
        <v>0</v>
      </c>
      <c r="S36" s="9" t="s">
        <v>156</v>
      </c>
      <c r="T36" s="4" t="s">
        <v>321</v>
      </c>
    </row>
    <row r="37" customFormat="false" ht="32.8" hidden="false" customHeight="false" outlineLevel="0" collapsed="false">
      <c r="A37" s="4" t="s">
        <v>322</v>
      </c>
      <c r="B37" s="5" t="n">
        <v>46162</v>
      </c>
      <c r="C37" s="4" t="s">
        <v>172</v>
      </c>
      <c r="D37" s="4" t="s">
        <v>323</v>
      </c>
      <c r="E37" s="4" t="s">
        <v>324</v>
      </c>
      <c r="F37" s="4" t="s">
        <v>325</v>
      </c>
      <c r="G37" s="4" t="s">
        <v>151</v>
      </c>
      <c r="H37" s="6" t="n">
        <v>294.08</v>
      </c>
      <c r="I37" s="6" t="n">
        <v>24.28</v>
      </c>
      <c r="J37" s="6" t="n">
        <v>294.08</v>
      </c>
      <c r="K37" s="4" t="s">
        <v>152</v>
      </c>
      <c r="L37" s="7"/>
      <c r="M37" s="4"/>
      <c r="N37" s="4"/>
      <c r="O37" s="5"/>
      <c r="P37" s="4"/>
      <c r="Q37" s="6" t="n">
        <v>0</v>
      </c>
      <c r="R37" s="7" t="n">
        <f aca="false">ROUND(H37-N(J37)-N(Q37),2)</f>
        <v>0</v>
      </c>
      <c r="S37" s="8" t="s">
        <v>326</v>
      </c>
      <c r="T37" s="4" t="s">
        <v>327</v>
      </c>
    </row>
    <row r="38" customFormat="false" ht="32.8" hidden="false" customHeight="false" outlineLevel="0" collapsed="false">
      <c r="A38" s="4" t="s">
        <v>328</v>
      </c>
      <c r="B38" s="5" t="n">
        <v>46173</v>
      </c>
      <c r="C38" s="4" t="s">
        <v>192</v>
      </c>
      <c r="D38" s="4" t="s">
        <v>329</v>
      </c>
      <c r="E38" s="4" t="s">
        <v>330</v>
      </c>
      <c r="F38" s="4" t="s">
        <v>331</v>
      </c>
      <c r="G38" s="4" t="s">
        <v>28</v>
      </c>
      <c r="H38" s="6" t="n">
        <v>1000</v>
      </c>
      <c r="I38" s="7"/>
      <c r="J38" s="7"/>
      <c r="K38" s="4" t="s">
        <v>196</v>
      </c>
      <c r="L38" s="7"/>
      <c r="M38" s="4"/>
      <c r="N38" s="4"/>
      <c r="O38" s="5"/>
      <c r="P38" s="4"/>
      <c r="Q38" s="6" t="n">
        <v>0</v>
      </c>
      <c r="R38" s="7" t="n">
        <f aca="false">ROUND(H38-N(J38)-N(Q38),2)</f>
        <v>1000</v>
      </c>
      <c r="S38" s="10" t="s">
        <v>197</v>
      </c>
      <c r="T38" s="4" t="s">
        <v>251</v>
      </c>
    </row>
    <row r="39" customFormat="false" ht="32.8" hidden="false" customHeight="false" outlineLevel="0" collapsed="false">
      <c r="A39" s="4" t="s">
        <v>332</v>
      </c>
      <c r="B39" s="5" t="n">
        <v>46173</v>
      </c>
      <c r="C39" s="4" t="s">
        <v>88</v>
      </c>
      <c r="D39" s="4" t="s">
        <v>333</v>
      </c>
      <c r="E39" s="4" t="s">
        <v>334</v>
      </c>
      <c r="F39" s="4" t="s">
        <v>335</v>
      </c>
      <c r="G39" s="4" t="s">
        <v>28</v>
      </c>
      <c r="H39" s="6" t="n">
        <v>251.92</v>
      </c>
      <c r="I39" s="7"/>
      <c r="J39" s="7"/>
      <c r="K39" s="4" t="s">
        <v>256</v>
      </c>
      <c r="L39" s="7"/>
      <c r="M39" s="4"/>
      <c r="N39" s="4"/>
      <c r="O39" s="5"/>
      <c r="P39" s="4"/>
      <c r="Q39" s="6" t="n">
        <v>0</v>
      </c>
      <c r="R39" s="7" t="n">
        <f aca="false">ROUND(H39-N(J39)-N(Q39),2)</f>
        <v>251.92</v>
      </c>
      <c r="S39" s="12" t="s">
        <v>114</v>
      </c>
      <c r="T39" s="4" t="s">
        <v>336</v>
      </c>
    </row>
    <row r="40" customFormat="false" ht="32.8" hidden="false" customHeight="false" outlineLevel="0" collapsed="false">
      <c r="A40" s="4" t="s">
        <v>337</v>
      </c>
      <c r="B40" s="5" t="n">
        <v>46202</v>
      </c>
      <c r="C40" s="4" t="s">
        <v>172</v>
      </c>
      <c r="D40" s="4" t="s">
        <v>338</v>
      </c>
      <c r="E40" s="4" t="s">
        <v>339</v>
      </c>
      <c r="F40" s="4" t="s">
        <v>340</v>
      </c>
      <c r="G40" s="4" t="s">
        <v>151</v>
      </c>
      <c r="H40" s="6" t="n">
        <v>134.9</v>
      </c>
      <c r="I40" s="7"/>
      <c r="J40" s="7"/>
      <c r="K40" s="4" t="s">
        <v>341</v>
      </c>
      <c r="L40" s="7"/>
      <c r="M40" s="4"/>
      <c r="N40" s="4" t="s">
        <v>342</v>
      </c>
      <c r="O40" s="5" t="n">
        <v>46202</v>
      </c>
      <c r="P40" s="4" t="s">
        <v>343</v>
      </c>
      <c r="Q40" s="6" t="n">
        <v>134.9</v>
      </c>
      <c r="R40" s="7" t="n">
        <f aca="false">ROUND(H40-N(J40)-N(Q40),2)</f>
        <v>0</v>
      </c>
      <c r="S40" s="10" t="s">
        <v>344</v>
      </c>
      <c r="T40" s="4" t="s">
        <v>345</v>
      </c>
    </row>
    <row r="41" customFormat="false" ht="32.8" hidden="false" customHeight="false" outlineLevel="0" collapsed="false">
      <c r="A41" s="4" t="s">
        <v>346</v>
      </c>
      <c r="B41" s="5" t="n">
        <v>46202</v>
      </c>
      <c r="C41" s="4" t="s">
        <v>172</v>
      </c>
      <c r="D41" s="4" t="s">
        <v>347</v>
      </c>
      <c r="E41" s="4" t="s">
        <v>348</v>
      </c>
      <c r="F41" s="4" t="s">
        <v>349</v>
      </c>
      <c r="G41" s="4" t="s">
        <v>151</v>
      </c>
      <c r="H41" s="6" t="n">
        <v>67.45</v>
      </c>
      <c r="I41" s="7"/>
      <c r="J41" s="7"/>
      <c r="K41" s="4" t="s">
        <v>341</v>
      </c>
      <c r="L41" s="7"/>
      <c r="M41" s="4"/>
      <c r="N41" s="4" t="s">
        <v>342</v>
      </c>
      <c r="O41" s="5" t="n">
        <v>46202</v>
      </c>
      <c r="P41" s="4" t="s">
        <v>350</v>
      </c>
      <c r="Q41" s="6" t="n">
        <v>67.45</v>
      </c>
      <c r="R41" s="7" t="n">
        <f aca="false">ROUND(H41-N(J41)-N(Q41),2)</f>
        <v>0</v>
      </c>
      <c r="S41" s="10" t="s">
        <v>344</v>
      </c>
      <c r="T41" s="4" t="s">
        <v>351</v>
      </c>
    </row>
    <row r="42" customFormat="false" ht="32.8" hidden="false" customHeight="false" outlineLevel="0" collapsed="false">
      <c r="A42" s="4" t="s">
        <v>352</v>
      </c>
      <c r="B42" s="5" t="n">
        <v>46203</v>
      </c>
      <c r="C42" s="4" t="s">
        <v>192</v>
      </c>
      <c r="D42" s="4" t="s">
        <v>353</v>
      </c>
      <c r="E42" s="4" t="s">
        <v>354</v>
      </c>
      <c r="F42" s="4" t="s">
        <v>355</v>
      </c>
      <c r="G42" s="4" t="s">
        <v>28</v>
      </c>
      <c r="H42" s="6" t="n">
        <v>1000</v>
      </c>
      <c r="I42" s="7"/>
      <c r="J42" s="7"/>
      <c r="K42" s="4" t="s">
        <v>196</v>
      </c>
      <c r="L42" s="7"/>
      <c r="M42" s="4"/>
      <c r="N42" s="4"/>
      <c r="O42" s="5"/>
      <c r="P42" s="4"/>
      <c r="Q42" s="6" t="n">
        <v>0</v>
      </c>
      <c r="R42" s="7" t="n">
        <f aca="false">ROUND(H42-N(J42)-N(Q42),2)</f>
        <v>1000</v>
      </c>
      <c r="S42" s="10" t="s">
        <v>197</v>
      </c>
      <c r="T42" s="4" t="s">
        <v>251</v>
      </c>
    </row>
    <row r="43" customFormat="false" ht="32.8" hidden="false" customHeight="false" outlineLevel="0" collapsed="false">
      <c r="A43" s="4" t="s">
        <v>356</v>
      </c>
      <c r="B43" s="5" t="n">
        <v>46203</v>
      </c>
      <c r="C43" s="4" t="s">
        <v>88</v>
      </c>
      <c r="D43" s="4" t="s">
        <v>357</v>
      </c>
      <c r="E43" s="4" t="s">
        <v>358</v>
      </c>
      <c r="F43" s="4" t="s">
        <v>359</v>
      </c>
      <c r="G43" s="4" t="s">
        <v>28</v>
      </c>
      <c r="H43" s="6" t="n">
        <v>341.38</v>
      </c>
      <c r="I43" s="7"/>
      <c r="J43" s="7"/>
      <c r="K43" s="4" t="s">
        <v>256</v>
      </c>
      <c r="L43" s="6" t="n">
        <v>97.79</v>
      </c>
      <c r="M43" s="4" t="s">
        <v>28</v>
      </c>
      <c r="N43" s="4" t="s">
        <v>108</v>
      </c>
      <c r="O43" s="5" t="n">
        <v>46203</v>
      </c>
      <c r="P43" s="4" t="s">
        <v>117</v>
      </c>
      <c r="Q43" s="6" t="n">
        <v>97.79</v>
      </c>
      <c r="R43" s="7" t="n">
        <f aca="false">ROUND(H43-N(J43)-N(Q43),2)</f>
        <v>243.59</v>
      </c>
      <c r="S43" s="12" t="s">
        <v>114</v>
      </c>
      <c r="T43" s="4" t="s">
        <v>360</v>
      </c>
    </row>
    <row r="44" customFormat="false" ht="32.8" hidden="false" customHeight="false" outlineLevel="0" collapsed="false">
      <c r="A44" s="4" t="s">
        <v>361</v>
      </c>
      <c r="B44" s="5" t="n">
        <v>46234</v>
      </c>
      <c r="C44" s="4" t="s">
        <v>88</v>
      </c>
      <c r="D44" s="4" t="s">
        <v>362</v>
      </c>
      <c r="E44" s="4" t="s">
        <v>363</v>
      </c>
      <c r="F44" s="4" t="s">
        <v>364</v>
      </c>
      <c r="G44" s="4" t="s">
        <v>28</v>
      </c>
      <c r="H44" s="6" t="n">
        <v>239.45</v>
      </c>
      <c r="I44" s="7"/>
      <c r="J44" s="7"/>
      <c r="K44" s="4" t="s">
        <v>365</v>
      </c>
      <c r="L44" s="7"/>
      <c r="M44" s="4"/>
      <c r="N44" s="4"/>
      <c r="O44" s="5"/>
      <c r="P44" s="4"/>
      <c r="Q44" s="6" t="n">
        <v>0</v>
      </c>
      <c r="R44" s="7" t="n">
        <f aca="false">ROUND(H44-N(J44)-N(Q44),2)</f>
        <v>239.45</v>
      </c>
      <c r="S44" s="12" t="s">
        <v>114</v>
      </c>
      <c r="T44" s="4"/>
    </row>
    <row r="45" customFormat="false" ht="22.35" hidden="false" customHeight="false" outlineLevel="0" collapsed="false">
      <c r="A45" s="4" t="s">
        <v>366</v>
      </c>
      <c r="B45" s="5" t="n">
        <v>46241</v>
      </c>
      <c r="C45" s="4" t="s">
        <v>367</v>
      </c>
      <c r="D45" s="4" t="s">
        <v>368</v>
      </c>
      <c r="E45" s="4" t="s">
        <v>369</v>
      </c>
      <c r="F45" s="4" t="s">
        <v>370</v>
      </c>
      <c r="G45" s="4" t="s">
        <v>28</v>
      </c>
      <c r="H45" s="6" t="n">
        <v>1000</v>
      </c>
      <c r="I45" s="7"/>
      <c r="J45" s="7"/>
      <c r="K45" s="4" t="s">
        <v>196</v>
      </c>
      <c r="L45" s="6" t="n">
        <v>1000</v>
      </c>
      <c r="M45" s="4" t="s">
        <v>28</v>
      </c>
      <c r="N45" s="4" t="s">
        <v>36</v>
      </c>
      <c r="O45" s="5" t="n">
        <v>46275</v>
      </c>
      <c r="P45" s="4" t="s">
        <v>371</v>
      </c>
      <c r="Q45" s="6" t="n">
        <v>1000</v>
      </c>
      <c r="R45" s="7" t="n">
        <f aca="false">ROUND(H45-N(J45)-N(Q45),2)</f>
        <v>0</v>
      </c>
      <c r="S45" s="9" t="s">
        <v>156</v>
      </c>
      <c r="T45" s="4" t="s">
        <v>372</v>
      </c>
    </row>
    <row r="46" customFormat="false" ht="32.8" hidden="false" customHeight="false" outlineLevel="0" collapsed="false">
      <c r="A46" s="4" t="s">
        <v>373</v>
      </c>
      <c r="B46" s="5" t="n">
        <v>46260</v>
      </c>
      <c r="C46" s="4" t="s">
        <v>241</v>
      </c>
      <c r="D46" s="4" t="s">
        <v>374</v>
      </c>
      <c r="E46" s="4" t="s">
        <v>375</v>
      </c>
      <c r="F46" s="4" t="s">
        <v>376</v>
      </c>
      <c r="G46" s="4" t="s">
        <v>153</v>
      </c>
      <c r="H46" s="6" t="n">
        <v>30</v>
      </c>
      <c r="I46" s="6" t="n">
        <v>2.48</v>
      </c>
      <c r="J46" s="7"/>
      <c r="K46" s="4" t="s">
        <v>152</v>
      </c>
      <c r="L46" s="6" t="n">
        <v>30</v>
      </c>
      <c r="M46" s="4" t="s">
        <v>153</v>
      </c>
      <c r="N46" s="4" t="s">
        <v>377</v>
      </c>
      <c r="O46" s="5" t="n">
        <v>46260</v>
      </c>
      <c r="P46" s="4" t="s">
        <v>378</v>
      </c>
      <c r="Q46" s="6" t="n">
        <v>30</v>
      </c>
      <c r="R46" s="7" t="n">
        <f aca="false">ROUND(H46-N(J46)-N(Q46),2)</f>
        <v>0</v>
      </c>
      <c r="S46" s="12" t="s">
        <v>379</v>
      </c>
      <c r="T46" s="4" t="s">
        <v>380</v>
      </c>
    </row>
    <row r="47" customFormat="false" ht="32.8" hidden="false" customHeight="false" outlineLevel="0" collapsed="false">
      <c r="A47" s="4" t="s">
        <v>381</v>
      </c>
      <c r="B47" s="5" t="n">
        <v>46265</v>
      </c>
      <c r="C47" s="4" t="s">
        <v>88</v>
      </c>
      <c r="D47" s="4" t="s">
        <v>382</v>
      </c>
      <c r="E47" s="4" t="s">
        <v>383</v>
      </c>
      <c r="F47" s="4" t="s">
        <v>384</v>
      </c>
      <c r="G47" s="4" t="s">
        <v>28</v>
      </c>
      <c r="H47" s="6" t="n">
        <v>231.28</v>
      </c>
      <c r="I47" s="7"/>
      <c r="J47" s="7"/>
      <c r="K47" s="4" t="s">
        <v>385</v>
      </c>
      <c r="L47" s="7"/>
      <c r="M47" s="4"/>
      <c r="N47" s="4"/>
      <c r="O47" s="5"/>
      <c r="P47" s="4"/>
      <c r="Q47" s="6" t="n">
        <v>0</v>
      </c>
      <c r="R47" s="7" t="n">
        <f aca="false">ROUND(H47-N(J47)-N(Q47),2)</f>
        <v>231.28</v>
      </c>
      <c r="S47" s="12" t="s">
        <v>114</v>
      </c>
      <c r="T47" s="4" t="s">
        <v>386</v>
      </c>
    </row>
    <row r="48" customFormat="false" ht="22.35" hidden="false" customHeight="false" outlineLevel="0" collapsed="false">
      <c r="A48" s="4" t="s">
        <v>387</v>
      </c>
      <c r="B48" s="5" t="n">
        <v>46268</v>
      </c>
      <c r="C48" s="4" t="s">
        <v>367</v>
      </c>
      <c r="D48" s="4" t="s">
        <v>388</v>
      </c>
      <c r="E48" s="4" t="s">
        <v>389</v>
      </c>
      <c r="F48" s="4" t="s">
        <v>390</v>
      </c>
      <c r="G48" s="4" t="s">
        <v>28</v>
      </c>
      <c r="H48" s="6" t="n">
        <v>1000</v>
      </c>
      <c r="I48" s="7"/>
      <c r="J48" s="7"/>
      <c r="K48" s="4" t="s">
        <v>196</v>
      </c>
      <c r="L48" s="7"/>
      <c r="M48" s="4"/>
      <c r="N48" s="4"/>
      <c r="O48" s="5"/>
      <c r="P48" s="4"/>
      <c r="Q48" s="6" t="n">
        <v>0</v>
      </c>
      <c r="R48" s="7" t="n">
        <f aca="false">ROUND(H48-N(J48)-N(Q48),2)</f>
        <v>1000</v>
      </c>
      <c r="S48" s="10" t="s">
        <v>391</v>
      </c>
      <c r="T48" s="4" t="s">
        <v>392</v>
      </c>
    </row>
    <row r="49" customFormat="false" ht="32.8" hidden="false" customHeight="false" outlineLevel="0" collapsed="false">
      <c r="A49" s="4" t="s">
        <v>393</v>
      </c>
      <c r="B49" s="5" t="n">
        <v>46295</v>
      </c>
      <c r="C49" s="4" t="s">
        <v>394</v>
      </c>
      <c r="D49" s="4" t="s">
        <v>395</v>
      </c>
      <c r="E49" s="4" t="s">
        <v>396</v>
      </c>
      <c r="F49" s="4" t="s">
        <v>397</v>
      </c>
      <c r="G49" s="4" t="s">
        <v>28</v>
      </c>
      <c r="H49" s="6" t="n">
        <v>480</v>
      </c>
      <c r="I49" s="7"/>
      <c r="J49" s="7"/>
      <c r="K49" s="4" t="s">
        <v>398</v>
      </c>
      <c r="L49" s="7"/>
      <c r="M49" s="4"/>
      <c r="N49" s="4"/>
      <c r="O49" s="5"/>
      <c r="P49" s="4"/>
      <c r="Q49" s="6" t="n">
        <v>0</v>
      </c>
      <c r="R49" s="7" t="n">
        <f aca="false">ROUND(H49-N(J49)-N(Q49),2)</f>
        <v>480</v>
      </c>
      <c r="S49" s="10" t="s">
        <v>391</v>
      </c>
      <c r="T49" s="4" t="s">
        <v>399</v>
      </c>
    </row>
    <row r="51" customFormat="false" ht="22.35" hidden="false" customHeight="false" outlineLevel="0" collapsed="false">
      <c r="E51" s="13" t="s">
        <v>400</v>
      </c>
      <c r="H51" s="13" t="s">
        <v>401</v>
      </c>
      <c r="Q51" s="13" t="s">
        <v>402</v>
      </c>
      <c r="R51" s="13" t="s">
        <v>21</v>
      </c>
    </row>
    <row r="52" customFormat="false" ht="15" hidden="false" customHeight="false" outlineLevel="0" collapsed="false">
      <c r="G52" s="13" t="s">
        <v>28</v>
      </c>
      <c r="H52" s="7" t="n">
        <f aca="false">SUMIF($G$7:$G$49,G52,H$7:H$49)</f>
        <v>11136.35</v>
      </c>
      <c r="Q52" s="7" t="n">
        <f aca="false">SUMIF($G$7:$G$49,G52,Q$7:Q$49)</f>
        <v>2594.81</v>
      </c>
      <c r="R52" s="7" t="n">
        <f aca="false">SUMIF($G$7:$G$49,G52,R$7:R$49)</f>
        <v>8541.54</v>
      </c>
    </row>
    <row r="53" customFormat="false" ht="15" hidden="false" customHeight="false" outlineLevel="0" collapsed="false">
      <c r="G53" s="13" t="s">
        <v>151</v>
      </c>
      <c r="H53" s="7" t="n">
        <f aca="false">SUMIF($G$7:$G$49,G53,H$7:H$49)</f>
        <v>6415.87</v>
      </c>
      <c r="Q53" s="7" t="n">
        <f aca="false">SUMIF($G$7:$G$49,G53,Q$7:Q$49)</f>
        <v>4066.33</v>
      </c>
      <c r="R53" s="7" t="n">
        <f aca="false">SUMIF($G$7:$G$49,G53,R$7:R$49)</f>
        <v>2007.92</v>
      </c>
    </row>
    <row r="54" customFormat="false" ht="15" hidden="false" customHeight="false" outlineLevel="0" collapsed="false">
      <c r="G54" s="13" t="s">
        <v>153</v>
      </c>
      <c r="H54" s="7" t="n">
        <f aca="false">SUMIF($G$7:$G$49,G54,H$7:H$49)</f>
        <v>57.52</v>
      </c>
      <c r="Q54" s="7" t="n">
        <f aca="false">SUMIF($G$7:$G$49,G54,Q$7:Q$49)</f>
        <v>57.52</v>
      </c>
      <c r="R54" s="7" t="n">
        <f aca="false">SUMIF($G$7:$G$49,G54,R$7:R$49)</f>
        <v>0</v>
      </c>
    </row>
    <row r="55" customFormat="false" ht="15" hidden="false" customHeight="false" outlineLevel="0" collapsed="false">
      <c r="G55" s="13" t="s">
        <v>162</v>
      </c>
      <c r="H55" s="7" t="n">
        <f aca="false">SUMIF($G$7:$G$49,G55,H$7:H$49)</f>
        <v>147.17</v>
      </c>
      <c r="Q55" s="7" t="n">
        <f aca="false">SUMIF($G$7:$G$49,G55,Q$7:Q$49)</f>
        <v>147.17</v>
      </c>
      <c r="R55" s="7" t="n">
        <f aca="false">SUMIF($G$7:$G$49,G55,R$7:R$49)</f>
        <v>0</v>
      </c>
    </row>
    <row r="56" customFormat="false" ht="30" hidden="false" customHeight="true" outlineLevel="0" collapsed="false">
      <c r="E56" s="4" t="s">
        <v>403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</sheetData>
  <mergeCells count="1">
    <mergeCell ref="E56:T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34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55"/>
  </cols>
  <sheetData>
    <row r="1" customFormat="false" ht="16.15" hidden="false" customHeight="false" outlineLevel="0" collapsed="false">
      <c r="A1" s="1" t="s">
        <v>404</v>
      </c>
    </row>
    <row r="2" customFormat="false" ht="15" hidden="false" customHeight="false" outlineLevel="0" collapsed="false">
      <c r="A2" s="2" t="s">
        <v>405</v>
      </c>
    </row>
    <row r="3" customFormat="false" ht="15" hidden="false" customHeight="false" outlineLevel="0" collapsed="false">
      <c r="A3" s="2" t="s">
        <v>406</v>
      </c>
    </row>
    <row r="5" customFormat="false" ht="42" hidden="false" customHeight="true" outlineLevel="0" collapsed="false">
      <c r="A5" s="3" t="s">
        <v>4</v>
      </c>
      <c r="B5" s="3" t="s">
        <v>407</v>
      </c>
      <c r="C5" s="3" t="s">
        <v>408</v>
      </c>
      <c r="D5" s="3" t="s">
        <v>409</v>
      </c>
      <c r="E5" s="3" t="s">
        <v>410</v>
      </c>
      <c r="F5" s="3" t="s">
        <v>411</v>
      </c>
      <c r="G5" s="3" t="s">
        <v>412</v>
      </c>
      <c r="H5" s="3" t="s">
        <v>413</v>
      </c>
      <c r="I5" s="3" t="s">
        <v>414</v>
      </c>
      <c r="J5" s="3" t="s">
        <v>415</v>
      </c>
      <c r="K5" s="3" t="s">
        <v>416</v>
      </c>
      <c r="L5" s="3" t="s">
        <v>140</v>
      </c>
      <c r="M5" s="3" t="s">
        <v>417</v>
      </c>
      <c r="N5" s="3" t="s">
        <v>23</v>
      </c>
    </row>
    <row r="6" customFormat="false" ht="15" hidden="false" customHeight="false" outlineLevel="0" collapsed="false">
      <c r="D6" s="13" t="s">
        <v>418</v>
      </c>
      <c r="H6" s="15" t="n">
        <v>2.92</v>
      </c>
    </row>
    <row r="7" customFormat="false" ht="22.35" hidden="false" customHeight="false" outlineLevel="0" collapsed="false">
      <c r="A7" s="4" t="n">
        <v>1</v>
      </c>
      <c r="B7" s="5" t="n">
        <v>46024</v>
      </c>
      <c r="C7" s="4" t="s">
        <v>419</v>
      </c>
      <c r="D7" s="4" t="s">
        <v>420</v>
      </c>
      <c r="E7" s="4"/>
      <c r="F7" s="6" t="n">
        <v>5.13</v>
      </c>
      <c r="G7" s="7"/>
      <c r="H7" s="6" t="n">
        <v>8.05</v>
      </c>
      <c r="I7" s="7" t="n">
        <f aca="false">ROUND(H6+N(F7)-N(G7)-H7,2)</f>
        <v>0</v>
      </c>
      <c r="J7" s="4" t="s">
        <v>421</v>
      </c>
      <c r="K7" s="4"/>
      <c r="L7" s="4" t="s">
        <v>422</v>
      </c>
      <c r="M7" s="8" t="s">
        <v>423</v>
      </c>
      <c r="N7" s="4" t="s">
        <v>424</v>
      </c>
    </row>
    <row r="8" customFormat="false" ht="22.35" hidden="false" customHeight="false" outlineLevel="0" collapsed="false">
      <c r="A8" s="4" t="n">
        <v>2</v>
      </c>
      <c r="B8" s="5" t="n">
        <v>46024</v>
      </c>
      <c r="C8" s="4" t="s">
        <v>419</v>
      </c>
      <c r="D8" s="4" t="s">
        <v>425</v>
      </c>
      <c r="E8" s="4"/>
      <c r="F8" s="6" t="n">
        <v>30.27</v>
      </c>
      <c r="G8" s="7"/>
      <c r="H8" s="6" t="n">
        <v>38.32</v>
      </c>
      <c r="I8" s="7" t="n">
        <f aca="false">ROUND(H7+N(F8)-N(G8)-H8,2)</f>
        <v>0</v>
      </c>
      <c r="J8" s="4" t="s">
        <v>421</v>
      </c>
      <c r="K8" s="4"/>
      <c r="L8" s="4" t="s">
        <v>422</v>
      </c>
      <c r="M8" s="8" t="s">
        <v>423</v>
      </c>
      <c r="N8" s="4" t="s">
        <v>424</v>
      </c>
    </row>
    <row r="9" customFormat="false" ht="22.35" hidden="false" customHeight="false" outlineLevel="0" collapsed="false">
      <c r="A9" s="4" t="n">
        <v>3</v>
      </c>
      <c r="B9" s="5" t="n">
        <v>46028</v>
      </c>
      <c r="C9" s="4" t="s">
        <v>419</v>
      </c>
      <c r="D9" s="4" t="s">
        <v>426</v>
      </c>
      <c r="E9" s="4" t="s">
        <v>427</v>
      </c>
      <c r="F9" s="7"/>
      <c r="G9" s="6" t="n">
        <v>18.99</v>
      </c>
      <c r="H9" s="6" t="n">
        <v>19.33</v>
      </c>
      <c r="I9" s="7" t="n">
        <f aca="false">ROUND(H8+N(F9)-N(G9)-H9,2)</f>
        <v>0</v>
      </c>
      <c r="J9" s="4" t="s">
        <v>428</v>
      </c>
      <c r="K9" s="4"/>
      <c r="L9" s="4" t="s">
        <v>152</v>
      </c>
      <c r="M9" s="12" t="s">
        <v>429</v>
      </c>
      <c r="N9" s="4" t="s">
        <v>430</v>
      </c>
    </row>
    <row r="10" customFormat="false" ht="32.8" hidden="false" customHeight="false" outlineLevel="0" collapsed="false">
      <c r="A10" s="4" t="n">
        <v>4</v>
      </c>
      <c r="B10" s="5" t="n">
        <v>46034</v>
      </c>
      <c r="C10" s="4" t="s">
        <v>419</v>
      </c>
      <c r="D10" s="4" t="s">
        <v>431</v>
      </c>
      <c r="E10" s="4" t="s">
        <v>432</v>
      </c>
      <c r="F10" s="6" t="n">
        <v>2550</v>
      </c>
      <c r="G10" s="7"/>
      <c r="H10" s="6" t="n">
        <v>2569.33</v>
      </c>
      <c r="I10" s="7" t="n">
        <f aca="false">ROUND(H9+N(F10)-N(G10)-H10,2)</f>
        <v>0</v>
      </c>
      <c r="J10" s="4" t="s">
        <v>433</v>
      </c>
      <c r="K10" s="4" t="s">
        <v>434</v>
      </c>
      <c r="L10" s="4" t="s">
        <v>435</v>
      </c>
      <c r="M10" s="8" t="s">
        <v>423</v>
      </c>
      <c r="N10" s="4" t="s">
        <v>436</v>
      </c>
    </row>
    <row r="11" customFormat="false" ht="22.35" hidden="false" customHeight="false" outlineLevel="0" collapsed="false">
      <c r="A11" s="4" t="n">
        <v>5</v>
      </c>
      <c r="B11" s="5" t="n">
        <v>46036</v>
      </c>
      <c r="C11" s="4" t="s">
        <v>419</v>
      </c>
      <c r="D11" s="4" t="s">
        <v>437</v>
      </c>
      <c r="E11" s="4" t="s">
        <v>155</v>
      </c>
      <c r="F11" s="7"/>
      <c r="G11" s="6" t="n">
        <v>652.15</v>
      </c>
      <c r="H11" s="6" t="n">
        <v>1917.18</v>
      </c>
      <c r="I11" s="7" t="n">
        <f aca="false">ROUND(H10+N(F11)-N(G11)-H11,2)</f>
        <v>0</v>
      </c>
      <c r="J11" s="4" t="s">
        <v>438</v>
      </c>
      <c r="K11" s="4" t="s">
        <v>439</v>
      </c>
      <c r="L11" s="4" t="s">
        <v>152</v>
      </c>
      <c r="M11" s="9" t="s">
        <v>440</v>
      </c>
      <c r="N11" s="4" t="s">
        <v>441</v>
      </c>
    </row>
    <row r="12" customFormat="false" ht="22.35" hidden="false" customHeight="false" outlineLevel="0" collapsed="false">
      <c r="A12" s="4" t="n">
        <v>6</v>
      </c>
      <c r="B12" s="5" t="n">
        <v>46037</v>
      </c>
      <c r="C12" s="4" t="s">
        <v>419</v>
      </c>
      <c r="D12" s="4" t="s">
        <v>442</v>
      </c>
      <c r="E12" s="4" t="s">
        <v>443</v>
      </c>
      <c r="F12" s="7"/>
      <c r="G12" s="6" t="n">
        <v>38.49</v>
      </c>
      <c r="H12" s="6" t="n">
        <v>1878.69</v>
      </c>
      <c r="I12" s="7" t="n">
        <f aca="false">ROUND(H11+N(F12)-N(G12)-H12,2)</f>
        <v>0</v>
      </c>
      <c r="J12" s="4" t="s">
        <v>428</v>
      </c>
      <c r="K12" s="4"/>
      <c r="L12" s="4" t="s">
        <v>152</v>
      </c>
      <c r="M12" s="12" t="s">
        <v>429</v>
      </c>
      <c r="N12" s="4" t="s">
        <v>444</v>
      </c>
    </row>
    <row r="13" customFormat="false" ht="22.35" hidden="false" customHeight="false" outlineLevel="0" collapsed="false">
      <c r="A13" s="4" t="n">
        <v>7</v>
      </c>
      <c r="B13" s="5" t="n">
        <v>46039</v>
      </c>
      <c r="C13" s="4" t="s">
        <v>419</v>
      </c>
      <c r="D13" s="4" t="s">
        <v>445</v>
      </c>
      <c r="E13" s="4" t="s">
        <v>446</v>
      </c>
      <c r="F13" s="7"/>
      <c r="G13" s="6" t="n">
        <v>62.9</v>
      </c>
      <c r="H13" s="6" t="n">
        <v>1815.79</v>
      </c>
      <c r="I13" s="7" t="n">
        <f aca="false">ROUND(H12+N(F13)-N(G13)-H13,2)</f>
        <v>0</v>
      </c>
      <c r="J13" s="4" t="s">
        <v>428</v>
      </c>
      <c r="K13" s="4"/>
      <c r="L13" s="4" t="s">
        <v>152</v>
      </c>
      <c r="M13" s="12" t="s">
        <v>429</v>
      </c>
      <c r="N13" s="4" t="s">
        <v>447</v>
      </c>
    </row>
    <row r="14" customFormat="false" ht="22.35" hidden="false" customHeight="false" outlineLevel="0" collapsed="false">
      <c r="A14" s="4" t="n">
        <v>8</v>
      </c>
      <c r="B14" s="5" t="n">
        <v>46048</v>
      </c>
      <c r="C14" s="4" t="s">
        <v>419</v>
      </c>
      <c r="D14" s="4" t="s">
        <v>448</v>
      </c>
      <c r="E14" s="4" t="s">
        <v>449</v>
      </c>
      <c r="F14" s="7"/>
      <c r="G14" s="6" t="n">
        <v>35</v>
      </c>
      <c r="H14" s="6" t="n">
        <v>1780.79</v>
      </c>
      <c r="I14" s="7" t="n">
        <f aca="false">ROUND(H13+N(F14)-N(G14)-H14,2)</f>
        <v>0</v>
      </c>
      <c r="J14" s="4" t="s">
        <v>450</v>
      </c>
      <c r="K14" s="4"/>
      <c r="L14" s="4" t="s">
        <v>451</v>
      </c>
      <c r="M14" s="8" t="s">
        <v>423</v>
      </c>
      <c r="N14" s="4" t="s">
        <v>452</v>
      </c>
    </row>
    <row r="15" customFormat="false" ht="15" hidden="false" customHeight="false" outlineLevel="0" collapsed="false">
      <c r="A15" s="4" t="n">
        <v>9</v>
      </c>
      <c r="B15" s="5" t="n">
        <v>46053</v>
      </c>
      <c r="C15" s="4" t="s">
        <v>419</v>
      </c>
      <c r="D15" s="4" t="s">
        <v>453</v>
      </c>
      <c r="E15" s="4"/>
      <c r="F15" s="7"/>
      <c r="G15" s="6" t="n">
        <v>15</v>
      </c>
      <c r="H15" s="6" t="n">
        <v>1765.79</v>
      </c>
      <c r="I15" s="7" t="n">
        <f aca="false">ROUND(H14+N(F15)-N(G15)-H15,2)</f>
        <v>0</v>
      </c>
      <c r="J15" s="4" t="s">
        <v>450</v>
      </c>
      <c r="K15" s="4"/>
      <c r="L15" s="4" t="s">
        <v>451</v>
      </c>
      <c r="M15" s="8" t="s">
        <v>423</v>
      </c>
      <c r="N15" s="4" t="s">
        <v>454</v>
      </c>
    </row>
    <row r="16" customFormat="false" ht="22.35" hidden="false" customHeight="false" outlineLevel="0" collapsed="false">
      <c r="A16" s="4" t="n">
        <v>10</v>
      </c>
      <c r="B16" s="5" t="n">
        <v>46055</v>
      </c>
      <c r="C16" s="4" t="s">
        <v>455</v>
      </c>
      <c r="D16" s="4" t="s">
        <v>456</v>
      </c>
      <c r="E16" s="4"/>
      <c r="F16" s="6" t="n">
        <v>0.39</v>
      </c>
      <c r="G16" s="7"/>
      <c r="H16" s="6" t="n">
        <v>1766.18</v>
      </c>
      <c r="I16" s="7" t="n">
        <f aca="false">ROUND(H15+N(F16)-N(G16)-H16,2)</f>
        <v>0</v>
      </c>
      <c r="J16" s="4" t="s">
        <v>421</v>
      </c>
      <c r="K16" s="4"/>
      <c r="L16" s="4" t="s">
        <v>422</v>
      </c>
      <c r="M16" s="8" t="s">
        <v>423</v>
      </c>
      <c r="N16" s="4" t="s">
        <v>424</v>
      </c>
    </row>
    <row r="17" customFormat="false" ht="22.35" hidden="false" customHeight="false" outlineLevel="0" collapsed="false">
      <c r="A17" s="4" t="n">
        <v>11</v>
      </c>
      <c r="B17" s="5" t="n">
        <v>46055</v>
      </c>
      <c r="C17" s="4" t="s">
        <v>455</v>
      </c>
      <c r="D17" s="4" t="s">
        <v>457</v>
      </c>
      <c r="E17" s="4"/>
      <c r="F17" s="6" t="n">
        <v>8.94</v>
      </c>
      <c r="G17" s="7"/>
      <c r="H17" s="6" t="n">
        <v>1775.12</v>
      </c>
      <c r="I17" s="7" t="n">
        <f aca="false">ROUND(H16+N(F17)-N(G17)-H17,2)</f>
        <v>0</v>
      </c>
      <c r="J17" s="4" t="s">
        <v>421</v>
      </c>
      <c r="K17" s="4"/>
      <c r="L17" s="4" t="s">
        <v>422</v>
      </c>
      <c r="M17" s="8" t="s">
        <v>423</v>
      </c>
      <c r="N17" s="4" t="s">
        <v>424</v>
      </c>
    </row>
    <row r="18" customFormat="false" ht="22.35" hidden="false" customHeight="false" outlineLevel="0" collapsed="false">
      <c r="A18" s="4" t="n">
        <v>12</v>
      </c>
      <c r="B18" s="5" t="n">
        <v>46056</v>
      </c>
      <c r="C18" s="4" t="s">
        <v>455</v>
      </c>
      <c r="D18" s="4" t="s">
        <v>458</v>
      </c>
      <c r="E18" s="4" t="s">
        <v>209</v>
      </c>
      <c r="F18" s="7"/>
      <c r="G18" s="6" t="n">
        <v>624.46</v>
      </c>
      <c r="H18" s="6" t="n">
        <v>1150.66</v>
      </c>
      <c r="I18" s="7" t="n">
        <f aca="false">ROUND(H17+N(F18)-N(G18)-H18,2)</f>
        <v>0</v>
      </c>
      <c r="J18" s="4" t="s">
        <v>438</v>
      </c>
      <c r="K18" s="4" t="s">
        <v>459</v>
      </c>
      <c r="L18" s="4" t="s">
        <v>152</v>
      </c>
      <c r="M18" s="9" t="s">
        <v>440</v>
      </c>
      <c r="N18" s="4" t="s">
        <v>441</v>
      </c>
    </row>
    <row r="19" customFormat="false" ht="22.35" hidden="false" customHeight="false" outlineLevel="0" collapsed="false">
      <c r="A19" s="4" t="n">
        <v>13</v>
      </c>
      <c r="B19" s="5" t="n">
        <v>46056</v>
      </c>
      <c r="C19" s="4" t="s">
        <v>455</v>
      </c>
      <c r="D19" s="4" t="s">
        <v>460</v>
      </c>
      <c r="E19" s="4" t="s">
        <v>461</v>
      </c>
      <c r="F19" s="7"/>
      <c r="G19" s="6" t="n">
        <v>18.99</v>
      </c>
      <c r="H19" s="6" t="n">
        <v>1131.67</v>
      </c>
      <c r="I19" s="7" t="n">
        <f aca="false">ROUND(H18+N(F19)-N(G19)-H19,2)</f>
        <v>0</v>
      </c>
      <c r="J19" s="4" t="s">
        <v>428</v>
      </c>
      <c r="K19" s="4"/>
      <c r="L19" s="4" t="s">
        <v>152</v>
      </c>
      <c r="M19" s="12" t="s">
        <v>429</v>
      </c>
      <c r="N19" s="4" t="s">
        <v>430</v>
      </c>
    </row>
    <row r="20" customFormat="false" ht="22.35" hidden="false" customHeight="false" outlineLevel="0" collapsed="false">
      <c r="A20" s="4" t="n">
        <v>14</v>
      </c>
      <c r="B20" s="5" t="n">
        <v>46069</v>
      </c>
      <c r="C20" s="4" t="s">
        <v>455</v>
      </c>
      <c r="D20" s="4" t="s">
        <v>462</v>
      </c>
      <c r="E20" s="4" t="s">
        <v>463</v>
      </c>
      <c r="F20" s="7"/>
      <c r="G20" s="6" t="n">
        <v>36.66</v>
      </c>
      <c r="H20" s="6" t="n">
        <v>1095.01</v>
      </c>
      <c r="I20" s="7" t="n">
        <f aca="false">ROUND(H19+N(F20)-N(G20)-H20,2)</f>
        <v>0</v>
      </c>
      <c r="J20" s="4" t="s">
        <v>428</v>
      </c>
      <c r="K20" s="4"/>
      <c r="L20" s="4" t="s">
        <v>152</v>
      </c>
      <c r="M20" s="12" t="s">
        <v>429</v>
      </c>
      <c r="N20" s="4" t="s">
        <v>444</v>
      </c>
    </row>
    <row r="21" customFormat="false" ht="15" hidden="false" customHeight="false" outlineLevel="0" collapsed="false">
      <c r="A21" s="4" t="n">
        <v>15</v>
      </c>
      <c r="B21" s="5" t="n">
        <v>46081</v>
      </c>
      <c r="C21" s="4" t="s">
        <v>455</v>
      </c>
      <c r="D21" s="4" t="s">
        <v>453</v>
      </c>
      <c r="E21" s="4"/>
      <c r="F21" s="7"/>
      <c r="G21" s="6" t="n">
        <v>15</v>
      </c>
      <c r="H21" s="6" t="n">
        <v>1080.01</v>
      </c>
      <c r="I21" s="7" t="n">
        <f aca="false">ROUND(H20+N(F21)-N(G21)-H21,2)</f>
        <v>0</v>
      </c>
      <c r="J21" s="4" t="s">
        <v>450</v>
      </c>
      <c r="K21" s="4"/>
      <c r="L21" s="4" t="s">
        <v>451</v>
      </c>
      <c r="M21" s="8" t="s">
        <v>423</v>
      </c>
      <c r="N21" s="4" t="s">
        <v>454</v>
      </c>
    </row>
    <row r="22" customFormat="false" ht="22.35" hidden="false" customHeight="false" outlineLevel="0" collapsed="false">
      <c r="A22" s="4" t="n">
        <v>16</v>
      </c>
      <c r="B22" s="5" t="n">
        <v>46083</v>
      </c>
      <c r="C22" s="4" t="s">
        <v>464</v>
      </c>
      <c r="D22" s="4" t="s">
        <v>465</v>
      </c>
      <c r="E22" s="4"/>
      <c r="F22" s="6" t="n">
        <v>1.01</v>
      </c>
      <c r="G22" s="7"/>
      <c r="H22" s="6" t="n">
        <v>1081.02</v>
      </c>
      <c r="I22" s="7" t="n">
        <f aca="false">ROUND(H21+N(F22)-N(G22)-H22,2)</f>
        <v>0</v>
      </c>
      <c r="J22" s="4" t="s">
        <v>421</v>
      </c>
      <c r="K22" s="4"/>
      <c r="L22" s="4" t="s">
        <v>422</v>
      </c>
      <c r="M22" s="8" t="s">
        <v>423</v>
      </c>
      <c r="N22" s="4" t="s">
        <v>424</v>
      </c>
    </row>
    <row r="23" customFormat="false" ht="22.35" hidden="false" customHeight="false" outlineLevel="0" collapsed="false">
      <c r="A23" s="4" t="n">
        <v>17</v>
      </c>
      <c r="B23" s="5" t="n">
        <v>46083</v>
      </c>
      <c r="C23" s="4" t="s">
        <v>464</v>
      </c>
      <c r="D23" s="4" t="s">
        <v>466</v>
      </c>
      <c r="E23" s="4"/>
      <c r="F23" s="6" t="n">
        <v>6.61</v>
      </c>
      <c r="G23" s="7"/>
      <c r="H23" s="6" t="n">
        <v>1087.63</v>
      </c>
      <c r="I23" s="7" t="n">
        <f aca="false">ROUND(H22+N(F23)-N(G23)-H23,2)</f>
        <v>0</v>
      </c>
      <c r="J23" s="4" t="s">
        <v>421</v>
      </c>
      <c r="K23" s="4"/>
      <c r="L23" s="4" t="s">
        <v>422</v>
      </c>
      <c r="M23" s="8" t="s">
        <v>423</v>
      </c>
      <c r="N23" s="4" t="s">
        <v>424</v>
      </c>
    </row>
    <row r="24" customFormat="false" ht="22.35" hidden="false" customHeight="false" outlineLevel="0" collapsed="false">
      <c r="A24" s="4" t="n">
        <v>18</v>
      </c>
      <c r="B24" s="5" t="n">
        <v>46084</v>
      </c>
      <c r="C24" s="4" t="s">
        <v>464</v>
      </c>
      <c r="D24" s="4" t="s">
        <v>467</v>
      </c>
      <c r="E24" s="4" t="s">
        <v>261</v>
      </c>
      <c r="F24" s="7"/>
      <c r="G24" s="6" t="n">
        <v>622.7</v>
      </c>
      <c r="H24" s="6" t="n">
        <v>464.93</v>
      </c>
      <c r="I24" s="7" t="n">
        <f aca="false">ROUND(H23+N(F24)-N(G24)-H24,2)</f>
        <v>0</v>
      </c>
      <c r="J24" s="4" t="s">
        <v>438</v>
      </c>
      <c r="K24" s="4" t="s">
        <v>468</v>
      </c>
      <c r="L24" s="4" t="s">
        <v>152</v>
      </c>
      <c r="M24" s="9" t="s">
        <v>440</v>
      </c>
      <c r="N24" s="4" t="s">
        <v>441</v>
      </c>
    </row>
    <row r="25" customFormat="false" ht="22.35" hidden="false" customHeight="false" outlineLevel="0" collapsed="false">
      <c r="A25" s="4" t="n">
        <v>19</v>
      </c>
      <c r="B25" s="5" t="n">
        <v>46085</v>
      </c>
      <c r="C25" s="4" t="s">
        <v>464</v>
      </c>
      <c r="D25" s="4" t="s">
        <v>469</v>
      </c>
      <c r="E25" s="4" t="s">
        <v>470</v>
      </c>
      <c r="F25" s="7"/>
      <c r="G25" s="6" t="n">
        <v>18.99</v>
      </c>
      <c r="H25" s="6" t="n">
        <v>445.94</v>
      </c>
      <c r="I25" s="7" t="n">
        <f aca="false">ROUND(H24+N(F25)-N(G25)-H25,2)</f>
        <v>0</v>
      </c>
      <c r="J25" s="4" t="s">
        <v>428</v>
      </c>
      <c r="K25" s="4"/>
      <c r="L25" s="4" t="s">
        <v>152</v>
      </c>
      <c r="M25" s="12" t="s">
        <v>429</v>
      </c>
      <c r="N25" s="4" t="s">
        <v>430</v>
      </c>
    </row>
    <row r="26" customFormat="false" ht="22.35" hidden="false" customHeight="false" outlineLevel="0" collapsed="false">
      <c r="A26" s="4" t="n">
        <v>20</v>
      </c>
      <c r="B26" s="5" t="n">
        <v>46097</v>
      </c>
      <c r="C26" s="4" t="s">
        <v>464</v>
      </c>
      <c r="D26" s="4" t="s">
        <v>471</v>
      </c>
      <c r="E26" s="4" t="s">
        <v>472</v>
      </c>
      <c r="F26" s="7"/>
      <c r="G26" s="6" t="n">
        <v>37.1</v>
      </c>
      <c r="H26" s="6" t="n">
        <v>408.84</v>
      </c>
      <c r="I26" s="7" t="n">
        <f aca="false">ROUND(H25+N(F26)-N(G26)-H26,2)</f>
        <v>0</v>
      </c>
      <c r="J26" s="4" t="s">
        <v>428</v>
      </c>
      <c r="K26" s="4"/>
      <c r="L26" s="4" t="s">
        <v>152</v>
      </c>
      <c r="M26" s="12" t="s">
        <v>429</v>
      </c>
      <c r="N26" s="4" t="s">
        <v>444</v>
      </c>
    </row>
    <row r="27" customFormat="false" ht="32.8" hidden="false" customHeight="false" outlineLevel="0" collapsed="false">
      <c r="A27" s="4" t="n">
        <v>21</v>
      </c>
      <c r="B27" s="5" t="n">
        <v>46101</v>
      </c>
      <c r="C27" s="4" t="s">
        <v>464</v>
      </c>
      <c r="D27" s="4" t="s">
        <v>473</v>
      </c>
      <c r="E27" s="4"/>
      <c r="F27" s="7"/>
      <c r="G27" s="6" t="n">
        <v>202.86</v>
      </c>
      <c r="H27" s="6" t="n">
        <v>205.98</v>
      </c>
      <c r="I27" s="7" t="n">
        <f aca="false">ROUND(H26+N(F27)-N(G27)-H27,2)</f>
        <v>0</v>
      </c>
      <c r="J27" s="4" t="s">
        <v>474</v>
      </c>
      <c r="K27" s="4" t="s">
        <v>475</v>
      </c>
      <c r="L27" s="4" t="s">
        <v>476</v>
      </c>
      <c r="M27" s="8" t="s">
        <v>423</v>
      </c>
      <c r="N27" s="4" t="s">
        <v>477</v>
      </c>
    </row>
    <row r="28" customFormat="false" ht="15" hidden="false" customHeight="false" outlineLevel="0" collapsed="false">
      <c r="A28" s="4" t="n">
        <v>22</v>
      </c>
      <c r="B28" s="5" t="n">
        <v>46112</v>
      </c>
      <c r="C28" s="4" t="s">
        <v>464</v>
      </c>
      <c r="D28" s="4" t="s">
        <v>453</v>
      </c>
      <c r="E28" s="4"/>
      <c r="F28" s="7"/>
      <c r="G28" s="6" t="n">
        <v>15</v>
      </c>
      <c r="H28" s="6" t="n">
        <v>190.98</v>
      </c>
      <c r="I28" s="7" t="n">
        <f aca="false">ROUND(H27+N(F28)-N(G28)-H28,2)</f>
        <v>0</v>
      </c>
      <c r="J28" s="4" t="s">
        <v>450</v>
      </c>
      <c r="K28" s="4"/>
      <c r="L28" s="4" t="s">
        <v>451</v>
      </c>
      <c r="M28" s="8" t="s">
        <v>423</v>
      </c>
      <c r="N28" s="4" t="s">
        <v>454</v>
      </c>
    </row>
    <row r="29" customFormat="false" ht="22.35" hidden="false" customHeight="false" outlineLevel="0" collapsed="false">
      <c r="A29" s="4" t="n">
        <v>23</v>
      </c>
      <c r="B29" s="5" t="n">
        <v>46113</v>
      </c>
      <c r="C29" s="4" t="s">
        <v>478</v>
      </c>
      <c r="D29" s="4" t="s">
        <v>479</v>
      </c>
      <c r="E29" s="4"/>
      <c r="F29" s="6" t="n">
        <v>0.09</v>
      </c>
      <c r="G29" s="7"/>
      <c r="H29" s="6" t="n">
        <v>191.07</v>
      </c>
      <c r="I29" s="7" t="n">
        <f aca="false">ROUND(H28+N(F29)-N(G29)-H29,2)</f>
        <v>0</v>
      </c>
      <c r="J29" s="4" t="s">
        <v>421</v>
      </c>
      <c r="K29" s="4"/>
      <c r="L29" s="4" t="s">
        <v>422</v>
      </c>
      <c r="M29" s="8" t="s">
        <v>423</v>
      </c>
      <c r="N29" s="4" t="s">
        <v>424</v>
      </c>
    </row>
    <row r="30" customFormat="false" ht="32.8" hidden="false" customHeight="false" outlineLevel="0" collapsed="false">
      <c r="A30" s="4" t="n">
        <v>24</v>
      </c>
      <c r="B30" s="5" t="n">
        <v>46118</v>
      </c>
      <c r="C30" s="4" t="s">
        <v>478</v>
      </c>
      <c r="D30" s="4" t="s">
        <v>480</v>
      </c>
      <c r="E30" s="4" t="s">
        <v>481</v>
      </c>
      <c r="F30" s="6" t="n">
        <v>701.93</v>
      </c>
      <c r="G30" s="7"/>
      <c r="H30" s="6" t="n">
        <v>893</v>
      </c>
      <c r="I30" s="7" t="n">
        <f aca="false">ROUND(H29+N(F30)-N(G30)-H30,2)</f>
        <v>0</v>
      </c>
      <c r="J30" s="4" t="s">
        <v>433</v>
      </c>
      <c r="K30" s="4" t="s">
        <v>482</v>
      </c>
      <c r="L30" s="4" t="s">
        <v>435</v>
      </c>
      <c r="M30" s="8" t="s">
        <v>423</v>
      </c>
      <c r="N30" s="4" t="s">
        <v>483</v>
      </c>
    </row>
    <row r="31" customFormat="false" ht="22.35" hidden="false" customHeight="false" outlineLevel="0" collapsed="false">
      <c r="A31" s="4" t="n">
        <v>25</v>
      </c>
      <c r="B31" s="5" t="n">
        <v>46118</v>
      </c>
      <c r="C31" s="4" t="s">
        <v>478</v>
      </c>
      <c r="D31" s="4" t="s">
        <v>484</v>
      </c>
      <c r="E31" s="4" t="s">
        <v>485</v>
      </c>
      <c r="F31" s="7"/>
      <c r="G31" s="6" t="n">
        <v>18.99</v>
      </c>
      <c r="H31" s="6" t="n">
        <v>874.01</v>
      </c>
      <c r="I31" s="7" t="n">
        <f aca="false">ROUND(H30+N(F31)-N(G31)-H31,2)</f>
        <v>0</v>
      </c>
      <c r="J31" s="4" t="s">
        <v>428</v>
      </c>
      <c r="K31" s="4"/>
      <c r="L31" s="4" t="s">
        <v>152</v>
      </c>
      <c r="M31" s="12" t="s">
        <v>429</v>
      </c>
      <c r="N31" s="4" t="s">
        <v>430</v>
      </c>
    </row>
    <row r="32" customFormat="false" ht="22.35" hidden="false" customHeight="false" outlineLevel="0" collapsed="false">
      <c r="A32" s="4" t="n">
        <v>26</v>
      </c>
      <c r="B32" s="5" t="n">
        <v>46121</v>
      </c>
      <c r="C32" s="4" t="s">
        <v>478</v>
      </c>
      <c r="D32" s="4" t="s">
        <v>486</v>
      </c>
      <c r="E32" s="4"/>
      <c r="F32" s="6" t="n">
        <v>202.86</v>
      </c>
      <c r="G32" s="7"/>
      <c r="H32" s="6" t="n">
        <v>1076.87</v>
      </c>
      <c r="I32" s="7" t="n">
        <f aca="false">ROUND(H31+N(F32)-N(G32)-H32,2)</f>
        <v>0</v>
      </c>
      <c r="J32" s="4" t="s">
        <v>487</v>
      </c>
      <c r="K32" s="4" t="s">
        <v>488</v>
      </c>
      <c r="L32" s="4" t="s">
        <v>476</v>
      </c>
      <c r="M32" s="8" t="s">
        <v>423</v>
      </c>
      <c r="N32" s="4" t="s">
        <v>489</v>
      </c>
    </row>
    <row r="33" customFormat="false" ht="22.35" hidden="false" customHeight="false" outlineLevel="0" collapsed="false">
      <c r="A33" s="4" t="n">
        <v>27</v>
      </c>
      <c r="B33" s="5" t="n">
        <v>46122</v>
      </c>
      <c r="C33" s="4" t="s">
        <v>478</v>
      </c>
      <c r="D33" s="4" t="s">
        <v>490</v>
      </c>
      <c r="E33" s="4" t="s">
        <v>295</v>
      </c>
      <c r="F33" s="7"/>
      <c r="G33" s="6" t="n">
        <v>632.52</v>
      </c>
      <c r="H33" s="6" t="n">
        <v>444.35</v>
      </c>
      <c r="I33" s="7" t="n">
        <f aca="false">ROUND(H32+N(F33)-N(G33)-H33,2)</f>
        <v>0</v>
      </c>
      <c r="J33" s="4" t="s">
        <v>438</v>
      </c>
      <c r="K33" s="4" t="s">
        <v>491</v>
      </c>
      <c r="L33" s="4" t="s">
        <v>152</v>
      </c>
      <c r="M33" s="10" t="s">
        <v>60</v>
      </c>
      <c r="N33" s="4" t="s">
        <v>492</v>
      </c>
    </row>
    <row r="34" customFormat="false" ht="22.35" hidden="false" customHeight="false" outlineLevel="0" collapsed="false">
      <c r="A34" s="4" t="n">
        <v>28</v>
      </c>
      <c r="B34" s="5" t="n">
        <v>46130</v>
      </c>
      <c r="C34" s="4" t="s">
        <v>478</v>
      </c>
      <c r="D34" s="4" t="s">
        <v>493</v>
      </c>
      <c r="E34" s="4" t="s">
        <v>494</v>
      </c>
      <c r="F34" s="7"/>
      <c r="G34" s="6" t="n">
        <v>16.4</v>
      </c>
      <c r="H34" s="6" t="n">
        <v>427.95</v>
      </c>
      <c r="I34" s="7" t="n">
        <f aca="false">ROUND(H33+N(F34)-N(G34)-H34,2)</f>
        <v>0</v>
      </c>
      <c r="J34" s="4" t="s">
        <v>428</v>
      </c>
      <c r="K34" s="4"/>
      <c r="L34" s="4" t="s">
        <v>495</v>
      </c>
      <c r="M34" s="12" t="s">
        <v>429</v>
      </c>
      <c r="N34" s="4" t="s">
        <v>496</v>
      </c>
    </row>
    <row r="35" customFormat="false" ht="22.35" hidden="false" customHeight="false" outlineLevel="0" collapsed="false">
      <c r="A35" s="4" t="n">
        <v>29</v>
      </c>
      <c r="B35" s="5" t="n">
        <v>46135</v>
      </c>
      <c r="C35" s="4" t="s">
        <v>478</v>
      </c>
      <c r="D35" s="4" t="s">
        <v>497</v>
      </c>
      <c r="E35" s="4" t="s">
        <v>498</v>
      </c>
      <c r="F35" s="7"/>
      <c r="G35" s="6" t="n">
        <v>64.47</v>
      </c>
      <c r="H35" s="6" t="n">
        <v>363.48</v>
      </c>
      <c r="I35" s="7" t="n">
        <f aca="false">ROUND(H34+N(F35)-N(G35)-H35,2)</f>
        <v>0</v>
      </c>
      <c r="J35" s="4" t="s">
        <v>428</v>
      </c>
      <c r="K35" s="4"/>
      <c r="L35" s="4" t="s">
        <v>152</v>
      </c>
      <c r="M35" s="12" t="s">
        <v>429</v>
      </c>
      <c r="N35" s="4" t="s">
        <v>499</v>
      </c>
    </row>
    <row r="36" customFormat="false" ht="15" hidden="false" customHeight="false" outlineLevel="0" collapsed="false">
      <c r="A36" s="4" t="n">
        <v>30</v>
      </c>
      <c r="B36" s="5" t="n">
        <v>46142</v>
      </c>
      <c r="C36" s="4" t="s">
        <v>478</v>
      </c>
      <c r="D36" s="4" t="s">
        <v>453</v>
      </c>
      <c r="E36" s="4"/>
      <c r="F36" s="7"/>
      <c r="G36" s="6" t="n">
        <v>15</v>
      </c>
      <c r="H36" s="6" t="n">
        <v>348.48</v>
      </c>
      <c r="I36" s="7" t="n">
        <f aca="false">ROUND(H35+N(F36)-N(G36)-H36,2)</f>
        <v>0</v>
      </c>
      <c r="J36" s="4" t="s">
        <v>450</v>
      </c>
      <c r="K36" s="4"/>
      <c r="L36" s="4" t="s">
        <v>451</v>
      </c>
      <c r="M36" s="8" t="s">
        <v>423</v>
      </c>
      <c r="N36" s="4" t="s">
        <v>454</v>
      </c>
    </row>
    <row r="37" customFormat="false" ht="22.35" hidden="false" customHeight="false" outlineLevel="0" collapsed="false">
      <c r="A37" s="4" t="n">
        <v>31</v>
      </c>
      <c r="B37" s="5" t="n">
        <v>46144</v>
      </c>
      <c r="C37" s="4" t="s">
        <v>500</v>
      </c>
      <c r="D37" s="4" t="s">
        <v>501</v>
      </c>
      <c r="E37" s="4"/>
      <c r="F37" s="6" t="n">
        <v>0.09</v>
      </c>
      <c r="G37" s="7"/>
      <c r="H37" s="6" t="n">
        <v>348.57</v>
      </c>
      <c r="I37" s="7" t="n">
        <f aca="false">ROUND(H36+N(F37)-N(G37)-H37,2)</f>
        <v>0</v>
      </c>
      <c r="J37" s="4" t="s">
        <v>421</v>
      </c>
      <c r="K37" s="4"/>
      <c r="L37" s="4" t="s">
        <v>422</v>
      </c>
      <c r="M37" s="8" t="s">
        <v>423</v>
      </c>
      <c r="N37" s="4" t="s">
        <v>424</v>
      </c>
    </row>
    <row r="38" customFormat="false" ht="22.35" hidden="false" customHeight="false" outlineLevel="0" collapsed="false">
      <c r="A38" s="4" t="n">
        <v>32</v>
      </c>
      <c r="B38" s="5" t="n">
        <v>46147</v>
      </c>
      <c r="C38" s="4" t="s">
        <v>500</v>
      </c>
      <c r="D38" s="4" t="s">
        <v>502</v>
      </c>
      <c r="E38" s="4" t="s">
        <v>503</v>
      </c>
      <c r="F38" s="7"/>
      <c r="G38" s="6" t="n">
        <v>18.99</v>
      </c>
      <c r="H38" s="6" t="n">
        <v>329.58</v>
      </c>
      <c r="I38" s="7" t="n">
        <f aca="false">ROUND(H37+N(F38)-N(G38)-H38,2)</f>
        <v>0</v>
      </c>
      <c r="J38" s="4" t="s">
        <v>428</v>
      </c>
      <c r="K38" s="4"/>
      <c r="L38" s="4" t="s">
        <v>152</v>
      </c>
      <c r="M38" s="12" t="s">
        <v>429</v>
      </c>
      <c r="N38" s="4" t="s">
        <v>430</v>
      </c>
    </row>
    <row r="39" customFormat="false" ht="15" hidden="false" customHeight="false" outlineLevel="0" collapsed="false">
      <c r="A39" s="4" t="n">
        <v>33</v>
      </c>
      <c r="B39" s="5" t="n">
        <v>46172</v>
      </c>
      <c r="C39" s="4" t="s">
        <v>500</v>
      </c>
      <c r="D39" s="4" t="s">
        <v>453</v>
      </c>
      <c r="E39" s="4"/>
      <c r="F39" s="7"/>
      <c r="G39" s="6" t="n">
        <v>15</v>
      </c>
      <c r="H39" s="6" t="n">
        <v>314.58</v>
      </c>
      <c r="I39" s="7" t="n">
        <f aca="false">ROUND(H38+N(F39)-N(G39)-H39,2)</f>
        <v>0</v>
      </c>
      <c r="J39" s="4" t="s">
        <v>450</v>
      </c>
      <c r="K39" s="4"/>
      <c r="L39" s="4" t="s">
        <v>451</v>
      </c>
      <c r="M39" s="8" t="s">
        <v>423</v>
      </c>
      <c r="N39" s="4" t="s">
        <v>454</v>
      </c>
    </row>
    <row r="40" customFormat="false" ht="22.35" hidden="false" customHeight="false" outlineLevel="0" collapsed="false">
      <c r="A40" s="4" t="n">
        <v>34</v>
      </c>
      <c r="B40" s="5" t="n">
        <v>46175</v>
      </c>
      <c r="C40" s="4" t="s">
        <v>504</v>
      </c>
      <c r="D40" s="4" t="s">
        <v>505</v>
      </c>
      <c r="E40" s="4"/>
      <c r="F40" s="6" t="n">
        <v>0.09</v>
      </c>
      <c r="G40" s="7"/>
      <c r="H40" s="6" t="n">
        <v>314.67</v>
      </c>
      <c r="I40" s="7" t="n">
        <f aca="false">ROUND(H39+N(F40)-N(G40)-H40,2)</f>
        <v>0</v>
      </c>
      <c r="J40" s="4" t="s">
        <v>421</v>
      </c>
      <c r="K40" s="4"/>
      <c r="L40" s="4" t="s">
        <v>422</v>
      </c>
      <c r="M40" s="8" t="s">
        <v>423</v>
      </c>
      <c r="N40" s="4" t="s">
        <v>424</v>
      </c>
    </row>
    <row r="41" customFormat="false" ht="22.35" hidden="false" customHeight="false" outlineLevel="0" collapsed="false">
      <c r="A41" s="4" t="n">
        <v>35</v>
      </c>
      <c r="B41" s="5" t="n">
        <v>46176</v>
      </c>
      <c r="C41" s="4" t="s">
        <v>504</v>
      </c>
      <c r="D41" s="4" t="s">
        <v>506</v>
      </c>
      <c r="E41" s="4"/>
      <c r="F41" s="6" t="n">
        <v>800</v>
      </c>
      <c r="G41" s="7"/>
      <c r="H41" s="6" t="n">
        <v>1114.67</v>
      </c>
      <c r="I41" s="7" t="n">
        <f aca="false">ROUND(H40+N(F41)-N(G41)-H41,2)</f>
        <v>0</v>
      </c>
      <c r="J41" s="4" t="s">
        <v>433</v>
      </c>
      <c r="K41" s="4" t="s">
        <v>507</v>
      </c>
      <c r="L41" s="4" t="s">
        <v>508</v>
      </c>
      <c r="M41" s="8" t="s">
        <v>423</v>
      </c>
      <c r="N41" s="4" t="s">
        <v>509</v>
      </c>
    </row>
    <row r="42" customFormat="false" ht="32.8" hidden="false" customHeight="false" outlineLevel="0" collapsed="false">
      <c r="A42" s="4" t="n">
        <v>36</v>
      </c>
      <c r="B42" s="5" t="n">
        <v>46176</v>
      </c>
      <c r="C42" s="4" t="s">
        <v>504</v>
      </c>
      <c r="D42" s="4" t="s">
        <v>510</v>
      </c>
      <c r="E42" s="4" t="s">
        <v>511</v>
      </c>
      <c r="F42" s="7"/>
      <c r="G42" s="6" t="n">
        <v>129.22</v>
      </c>
      <c r="H42" s="6" t="n">
        <v>985.45</v>
      </c>
      <c r="I42" s="7" t="n">
        <f aca="false">ROUND(H41+N(F42)-N(G42)-H42,2)</f>
        <v>0</v>
      </c>
      <c r="J42" s="4" t="s">
        <v>433</v>
      </c>
      <c r="K42" s="4" t="s">
        <v>512</v>
      </c>
      <c r="L42" s="4" t="s">
        <v>435</v>
      </c>
      <c r="M42" s="8" t="s">
        <v>423</v>
      </c>
      <c r="N42" s="4" t="s">
        <v>483</v>
      </c>
    </row>
    <row r="43" customFormat="false" ht="22.35" hidden="false" customHeight="false" outlineLevel="0" collapsed="false">
      <c r="A43" s="4" t="n">
        <v>37</v>
      </c>
      <c r="B43" s="5" t="n">
        <v>46176</v>
      </c>
      <c r="C43" s="4" t="s">
        <v>504</v>
      </c>
      <c r="D43" s="4" t="s">
        <v>513</v>
      </c>
      <c r="E43" s="4" t="s">
        <v>514</v>
      </c>
      <c r="F43" s="7"/>
      <c r="G43" s="6" t="n">
        <v>18.99</v>
      </c>
      <c r="H43" s="6" t="n">
        <v>966.46</v>
      </c>
      <c r="I43" s="7" t="n">
        <f aca="false">ROUND(H42+N(F43)-N(G43)-H43,2)</f>
        <v>0</v>
      </c>
      <c r="J43" s="4" t="s">
        <v>428</v>
      </c>
      <c r="K43" s="4"/>
      <c r="L43" s="4" t="s">
        <v>152</v>
      </c>
      <c r="M43" s="12" t="s">
        <v>429</v>
      </c>
      <c r="N43" s="4" t="s">
        <v>430</v>
      </c>
    </row>
    <row r="44" customFormat="false" ht="22.35" hidden="false" customHeight="false" outlineLevel="0" collapsed="false">
      <c r="A44" s="4" t="n">
        <v>38</v>
      </c>
      <c r="B44" s="5" t="n">
        <v>46178</v>
      </c>
      <c r="C44" s="4" t="s">
        <v>504</v>
      </c>
      <c r="D44" s="4" t="s">
        <v>515</v>
      </c>
      <c r="E44" s="4" t="s">
        <v>516</v>
      </c>
      <c r="F44" s="7"/>
      <c r="G44" s="6" t="n">
        <v>468.75</v>
      </c>
      <c r="H44" s="6" t="n">
        <v>497.71</v>
      </c>
      <c r="I44" s="7" t="n">
        <f aca="false">ROUND(H43+N(F44)-N(G44)-H44,2)</f>
        <v>0</v>
      </c>
      <c r="J44" s="4" t="s">
        <v>428</v>
      </c>
      <c r="K44" s="4"/>
      <c r="L44" s="4" t="s">
        <v>152</v>
      </c>
      <c r="M44" s="12" t="s">
        <v>429</v>
      </c>
      <c r="N44" s="4" t="s">
        <v>517</v>
      </c>
    </row>
    <row r="45" customFormat="false" ht="15" hidden="false" customHeight="false" outlineLevel="0" collapsed="false">
      <c r="A45" s="4" t="n">
        <v>39</v>
      </c>
      <c r="B45" s="5" t="n">
        <v>46203</v>
      </c>
      <c r="C45" s="4" t="s">
        <v>504</v>
      </c>
      <c r="D45" s="4" t="s">
        <v>453</v>
      </c>
      <c r="E45" s="4"/>
      <c r="F45" s="7"/>
      <c r="G45" s="6" t="n">
        <v>15</v>
      </c>
      <c r="H45" s="6" t="n">
        <v>482.71</v>
      </c>
      <c r="I45" s="7" t="n">
        <f aca="false">ROUND(H44+N(F45)-N(G45)-H45,2)</f>
        <v>0</v>
      </c>
      <c r="J45" s="4" t="s">
        <v>450</v>
      </c>
      <c r="K45" s="4"/>
      <c r="L45" s="4" t="s">
        <v>451</v>
      </c>
      <c r="M45" s="8" t="s">
        <v>423</v>
      </c>
      <c r="N45" s="4" t="s">
        <v>454</v>
      </c>
    </row>
    <row r="46" customFormat="false" ht="22.35" hidden="false" customHeight="false" outlineLevel="0" collapsed="false">
      <c r="A46" s="4" t="n">
        <v>40</v>
      </c>
      <c r="B46" s="5" t="n">
        <v>46204</v>
      </c>
      <c r="C46" s="4" t="s">
        <v>518</v>
      </c>
      <c r="D46" s="4" t="s">
        <v>519</v>
      </c>
      <c r="E46" s="4"/>
      <c r="F46" s="6" t="n">
        <v>0.09</v>
      </c>
      <c r="G46" s="7"/>
      <c r="H46" s="6" t="n">
        <v>482.8</v>
      </c>
      <c r="I46" s="7" t="n">
        <f aca="false">ROUND(H45+N(F46)-N(G46)-H46,2)</f>
        <v>0</v>
      </c>
      <c r="J46" s="4" t="s">
        <v>421</v>
      </c>
      <c r="K46" s="4"/>
      <c r="L46" s="4" t="s">
        <v>422</v>
      </c>
      <c r="M46" s="8" t="s">
        <v>423</v>
      </c>
      <c r="N46" s="4" t="s">
        <v>424</v>
      </c>
    </row>
    <row r="47" customFormat="false" ht="22.35" hidden="false" customHeight="false" outlineLevel="0" collapsed="false">
      <c r="A47" s="4" t="n">
        <v>41</v>
      </c>
      <c r="B47" s="5" t="n">
        <v>46206</v>
      </c>
      <c r="C47" s="4" t="s">
        <v>518</v>
      </c>
      <c r="D47" s="4" t="s">
        <v>520</v>
      </c>
      <c r="E47" s="4" t="s">
        <v>521</v>
      </c>
      <c r="F47" s="7"/>
      <c r="G47" s="6" t="n">
        <v>421.54</v>
      </c>
      <c r="H47" s="6" t="n">
        <v>61.26</v>
      </c>
      <c r="I47" s="7" t="n">
        <f aca="false">ROUND(H46+N(F47)-N(G47)-H47,2)</f>
        <v>0</v>
      </c>
      <c r="J47" s="4" t="s">
        <v>428</v>
      </c>
      <c r="K47" s="4"/>
      <c r="L47" s="4" t="s">
        <v>152</v>
      </c>
      <c r="M47" s="12" t="s">
        <v>429</v>
      </c>
      <c r="N47" s="4" t="s">
        <v>517</v>
      </c>
    </row>
    <row r="48" customFormat="false" ht="22.35" hidden="false" customHeight="false" outlineLevel="0" collapsed="false">
      <c r="A48" s="4" t="n">
        <v>42</v>
      </c>
      <c r="B48" s="5" t="n">
        <v>46207</v>
      </c>
      <c r="C48" s="4" t="s">
        <v>518</v>
      </c>
      <c r="D48" s="4" t="s">
        <v>522</v>
      </c>
      <c r="E48" s="4" t="s">
        <v>523</v>
      </c>
      <c r="F48" s="7"/>
      <c r="G48" s="6" t="n">
        <v>18.99</v>
      </c>
      <c r="H48" s="6" t="n">
        <v>42.27</v>
      </c>
      <c r="I48" s="7" t="n">
        <f aca="false">ROUND(H47+N(F48)-N(G48)-H48,2)</f>
        <v>0</v>
      </c>
      <c r="J48" s="4" t="s">
        <v>428</v>
      </c>
      <c r="K48" s="4"/>
      <c r="L48" s="4" t="s">
        <v>152</v>
      </c>
      <c r="M48" s="12" t="s">
        <v>429</v>
      </c>
      <c r="N48" s="4" t="s">
        <v>430</v>
      </c>
    </row>
    <row r="49" customFormat="false" ht="15" hidden="false" customHeight="false" outlineLevel="0" collapsed="false">
      <c r="A49" s="4" t="n">
        <v>43</v>
      </c>
      <c r="B49" s="5" t="n">
        <v>46234</v>
      </c>
      <c r="C49" s="4" t="s">
        <v>518</v>
      </c>
      <c r="D49" s="4" t="s">
        <v>453</v>
      </c>
      <c r="E49" s="4"/>
      <c r="F49" s="7"/>
      <c r="G49" s="6" t="n">
        <v>15</v>
      </c>
      <c r="H49" s="6" t="n">
        <v>27.27</v>
      </c>
      <c r="I49" s="7" t="n">
        <f aca="false">ROUND(H48+N(F49)-N(G49)-H49,2)</f>
        <v>0</v>
      </c>
      <c r="J49" s="4" t="s">
        <v>450</v>
      </c>
      <c r="K49" s="4"/>
      <c r="L49" s="4" t="s">
        <v>451</v>
      </c>
      <c r="M49" s="8" t="s">
        <v>423</v>
      </c>
      <c r="N49" s="4" t="s">
        <v>454</v>
      </c>
    </row>
    <row r="50" customFormat="false" ht="22.35" hidden="false" customHeight="false" outlineLevel="0" collapsed="false">
      <c r="A50" s="4" t="n">
        <v>44</v>
      </c>
      <c r="B50" s="5" t="n">
        <v>46235</v>
      </c>
      <c r="C50" s="4" t="s">
        <v>524</v>
      </c>
      <c r="D50" s="4" t="s">
        <v>525</v>
      </c>
      <c r="E50" s="4"/>
      <c r="F50" s="6" t="n">
        <v>2.44</v>
      </c>
      <c r="G50" s="7"/>
      <c r="H50" s="6" t="n">
        <v>29.71</v>
      </c>
      <c r="I50" s="7" t="n">
        <f aca="false">ROUND(H49+N(F50)-N(G50)-H50,2)</f>
        <v>0</v>
      </c>
      <c r="J50" s="4" t="s">
        <v>421</v>
      </c>
      <c r="K50" s="4"/>
      <c r="L50" s="4" t="s">
        <v>422</v>
      </c>
      <c r="M50" s="8" t="s">
        <v>423</v>
      </c>
      <c r="N50" s="4" t="s">
        <v>424</v>
      </c>
    </row>
    <row r="51" customFormat="false" ht="22.35" hidden="false" customHeight="false" outlineLevel="0" collapsed="false">
      <c r="A51" s="4" t="n">
        <v>45</v>
      </c>
      <c r="B51" s="5" t="n">
        <v>46238</v>
      </c>
      <c r="C51" s="4" t="s">
        <v>524</v>
      </c>
      <c r="D51" s="4" t="s">
        <v>526</v>
      </c>
      <c r="E51" s="4" t="s">
        <v>527</v>
      </c>
      <c r="F51" s="7"/>
      <c r="G51" s="6" t="n">
        <v>18.99</v>
      </c>
      <c r="H51" s="6" t="n">
        <v>10.72</v>
      </c>
      <c r="I51" s="7" t="n">
        <f aca="false">ROUND(H50+N(F51)-N(G51)-H51,2)</f>
        <v>0</v>
      </c>
      <c r="J51" s="4" t="s">
        <v>428</v>
      </c>
      <c r="K51" s="4"/>
      <c r="L51" s="4" t="s">
        <v>152</v>
      </c>
      <c r="M51" s="12" t="s">
        <v>429</v>
      </c>
      <c r="N51" s="4" t="s">
        <v>430</v>
      </c>
    </row>
    <row r="52" customFormat="false" ht="32.8" hidden="false" customHeight="false" outlineLevel="0" collapsed="false">
      <c r="A52" s="4" t="n">
        <v>46</v>
      </c>
      <c r="B52" s="5" t="n">
        <v>46239</v>
      </c>
      <c r="C52" s="4" t="s">
        <v>524</v>
      </c>
      <c r="D52" s="4" t="s">
        <v>528</v>
      </c>
      <c r="E52" s="4" t="s">
        <v>529</v>
      </c>
      <c r="F52" s="6" t="n">
        <v>1265.74</v>
      </c>
      <c r="G52" s="7"/>
      <c r="H52" s="6" t="n">
        <v>1276.46</v>
      </c>
      <c r="I52" s="7" t="n">
        <f aca="false">ROUND(H51+N(F52)-N(G52)-H52,2)</f>
        <v>0</v>
      </c>
      <c r="J52" s="4" t="s">
        <v>433</v>
      </c>
      <c r="K52" s="4" t="s">
        <v>530</v>
      </c>
      <c r="L52" s="4" t="s">
        <v>435</v>
      </c>
      <c r="M52" s="8" t="s">
        <v>423</v>
      </c>
      <c r="N52" s="4" t="s">
        <v>483</v>
      </c>
    </row>
    <row r="53" customFormat="false" ht="22.35" hidden="false" customHeight="false" outlineLevel="0" collapsed="false">
      <c r="A53" s="4" t="n">
        <v>47</v>
      </c>
      <c r="B53" s="5" t="n">
        <v>46254</v>
      </c>
      <c r="C53" s="4" t="s">
        <v>524</v>
      </c>
      <c r="D53" s="4" t="s">
        <v>531</v>
      </c>
      <c r="E53" s="4" t="s">
        <v>532</v>
      </c>
      <c r="F53" s="7"/>
      <c r="G53" s="6" t="n">
        <v>10</v>
      </c>
      <c r="H53" s="6" t="n">
        <v>1266.46</v>
      </c>
      <c r="I53" s="7" t="n">
        <f aca="false">ROUND(H52+N(F53)-N(G53)-H53,2)</f>
        <v>0</v>
      </c>
      <c r="J53" s="4" t="s">
        <v>428</v>
      </c>
      <c r="K53" s="4"/>
      <c r="L53" s="4" t="s">
        <v>533</v>
      </c>
      <c r="M53" s="10" t="s">
        <v>60</v>
      </c>
      <c r="N53" s="4" t="s">
        <v>534</v>
      </c>
    </row>
    <row r="54" customFormat="false" ht="15" hidden="false" customHeight="false" outlineLevel="0" collapsed="false">
      <c r="A54" s="4" t="n">
        <v>48</v>
      </c>
      <c r="B54" s="5" t="n">
        <v>46265</v>
      </c>
      <c r="C54" s="4" t="s">
        <v>524</v>
      </c>
      <c r="D54" s="4" t="s">
        <v>453</v>
      </c>
      <c r="E54" s="4"/>
      <c r="F54" s="7"/>
      <c r="G54" s="6" t="n">
        <v>15</v>
      </c>
      <c r="H54" s="6" t="n">
        <v>1251.46</v>
      </c>
      <c r="I54" s="7" t="n">
        <f aca="false">ROUND(H53+N(F54)-N(G54)-H54,2)</f>
        <v>0</v>
      </c>
      <c r="J54" s="4" t="s">
        <v>450</v>
      </c>
      <c r="K54" s="4"/>
      <c r="L54" s="4" t="s">
        <v>451</v>
      </c>
      <c r="M54" s="8" t="s">
        <v>423</v>
      </c>
      <c r="N54" s="4" t="s">
        <v>454</v>
      </c>
    </row>
    <row r="55" customFormat="false" ht="32.8" hidden="false" customHeight="false" outlineLevel="0" collapsed="false">
      <c r="A55" s="4" t="n">
        <v>49</v>
      </c>
      <c r="B55" s="5" t="n">
        <v>46266</v>
      </c>
      <c r="C55" s="4" t="s">
        <v>535</v>
      </c>
      <c r="D55" s="4" t="s">
        <v>536</v>
      </c>
      <c r="E55" s="4" t="s">
        <v>537</v>
      </c>
      <c r="F55" s="7"/>
      <c r="G55" s="6" t="n">
        <v>128.29</v>
      </c>
      <c r="H55" s="6" t="n">
        <v>1123.17</v>
      </c>
      <c r="I55" s="7" t="n">
        <f aca="false">ROUND(H54+N(F55)-N(G55)-H55,2)</f>
        <v>0</v>
      </c>
      <c r="J55" s="4" t="s">
        <v>433</v>
      </c>
      <c r="K55" s="4" t="s">
        <v>538</v>
      </c>
      <c r="L55" s="4" t="s">
        <v>435</v>
      </c>
      <c r="M55" s="8" t="s">
        <v>423</v>
      </c>
      <c r="N55" s="4" t="s">
        <v>483</v>
      </c>
    </row>
    <row r="56" customFormat="false" ht="22.35" hidden="false" customHeight="false" outlineLevel="0" collapsed="false">
      <c r="A56" s="4" t="n">
        <v>50</v>
      </c>
      <c r="B56" s="5" t="n">
        <v>46266</v>
      </c>
      <c r="C56" s="4" t="s">
        <v>535</v>
      </c>
      <c r="D56" s="4" t="s">
        <v>539</v>
      </c>
      <c r="E56" s="4"/>
      <c r="F56" s="6" t="n">
        <v>2.2</v>
      </c>
      <c r="G56" s="7"/>
      <c r="H56" s="6" t="n">
        <v>1125.37</v>
      </c>
      <c r="I56" s="7" t="n">
        <f aca="false">ROUND(H55+N(F56)-N(G56)-H56,2)</f>
        <v>0</v>
      </c>
      <c r="J56" s="4" t="s">
        <v>421</v>
      </c>
      <c r="K56" s="4"/>
      <c r="L56" s="4" t="s">
        <v>422</v>
      </c>
      <c r="M56" s="8" t="s">
        <v>423</v>
      </c>
      <c r="N56" s="4" t="s">
        <v>424</v>
      </c>
    </row>
    <row r="57" customFormat="false" ht="22.35" hidden="false" customHeight="false" outlineLevel="0" collapsed="false">
      <c r="A57" s="4" t="n">
        <v>51</v>
      </c>
      <c r="B57" s="5" t="n">
        <v>46267</v>
      </c>
      <c r="C57" s="4" t="s">
        <v>535</v>
      </c>
      <c r="D57" s="4" t="s">
        <v>540</v>
      </c>
      <c r="E57" s="4"/>
      <c r="F57" s="6" t="n">
        <v>36.67</v>
      </c>
      <c r="G57" s="7"/>
      <c r="H57" s="6" t="n">
        <v>1162.04</v>
      </c>
      <c r="I57" s="7" t="n">
        <f aca="false">ROUND(H56+N(F57)-N(G57)-H57,2)</f>
        <v>0</v>
      </c>
      <c r="J57" s="4" t="s">
        <v>541</v>
      </c>
      <c r="K57" s="4"/>
      <c r="L57" s="4" t="s">
        <v>451</v>
      </c>
      <c r="M57" s="8" t="s">
        <v>423</v>
      </c>
      <c r="N57" s="4" t="s">
        <v>542</v>
      </c>
    </row>
    <row r="58" customFormat="false" ht="22.35" hidden="false" customHeight="false" outlineLevel="0" collapsed="false">
      <c r="A58" s="4" t="n">
        <v>52</v>
      </c>
      <c r="B58" s="5" t="n">
        <v>46267</v>
      </c>
      <c r="C58" s="4" t="s">
        <v>535</v>
      </c>
      <c r="D58" s="4" t="s">
        <v>543</v>
      </c>
      <c r="E58" s="4"/>
      <c r="F58" s="7"/>
      <c r="G58" s="6" t="n">
        <v>36.67</v>
      </c>
      <c r="H58" s="6" t="n">
        <v>1125.37</v>
      </c>
      <c r="I58" s="7" t="n">
        <f aca="false">ROUND(H57+N(F58)-N(G58)-H58,2)</f>
        <v>0</v>
      </c>
      <c r="J58" s="4" t="s">
        <v>450</v>
      </c>
      <c r="K58" s="4"/>
      <c r="L58" s="4" t="s">
        <v>451</v>
      </c>
      <c r="M58" s="8" t="s">
        <v>423</v>
      </c>
      <c r="N58" s="4" t="s">
        <v>544</v>
      </c>
    </row>
    <row r="59" customFormat="false" ht="22.35" hidden="false" customHeight="false" outlineLevel="0" collapsed="false">
      <c r="A59" s="4" t="n">
        <v>53</v>
      </c>
      <c r="B59" s="5" t="n">
        <v>46267</v>
      </c>
      <c r="C59" s="4" t="s">
        <v>535</v>
      </c>
      <c r="D59" s="4" t="s">
        <v>545</v>
      </c>
      <c r="E59" s="4"/>
      <c r="F59" s="7"/>
      <c r="G59" s="6" t="n">
        <v>36.67</v>
      </c>
      <c r="H59" s="6" t="n">
        <v>1088.7</v>
      </c>
      <c r="I59" s="7" t="n">
        <f aca="false">ROUND(H58+N(F59)-N(G59)-H59,2)</f>
        <v>0</v>
      </c>
      <c r="J59" s="4" t="s">
        <v>450</v>
      </c>
      <c r="K59" s="4"/>
      <c r="L59" s="4" t="s">
        <v>451</v>
      </c>
      <c r="M59" s="8" t="s">
        <v>423</v>
      </c>
      <c r="N59" s="4" t="s">
        <v>544</v>
      </c>
    </row>
    <row r="60" customFormat="false" ht="22.35" hidden="false" customHeight="false" outlineLevel="0" collapsed="false">
      <c r="A60" s="4" t="n">
        <v>54</v>
      </c>
      <c r="B60" s="5" t="n">
        <v>46295</v>
      </c>
      <c r="C60" s="4" t="s">
        <v>535</v>
      </c>
      <c r="D60" s="4" t="s">
        <v>546</v>
      </c>
      <c r="E60" s="4" t="s">
        <v>547</v>
      </c>
      <c r="F60" s="7"/>
      <c r="G60" s="6" t="n">
        <v>107.78</v>
      </c>
      <c r="H60" s="6" t="n">
        <v>980.92</v>
      </c>
      <c r="I60" s="7" t="n">
        <f aca="false">ROUND(H59+N(F60)-N(G60)-H60,2)</f>
        <v>0</v>
      </c>
      <c r="J60" s="4" t="s">
        <v>428</v>
      </c>
      <c r="K60" s="4"/>
      <c r="L60" s="4" t="s">
        <v>163</v>
      </c>
      <c r="M60" s="12" t="s">
        <v>429</v>
      </c>
      <c r="N60" s="4" t="s">
        <v>548</v>
      </c>
    </row>
    <row r="61" customFormat="false" ht="22.35" hidden="false" customHeight="false" outlineLevel="0" collapsed="false">
      <c r="A61" s="4" t="n">
        <v>55</v>
      </c>
      <c r="B61" s="5" t="n">
        <v>46295</v>
      </c>
      <c r="C61" s="4" t="s">
        <v>535</v>
      </c>
      <c r="D61" s="4" t="s">
        <v>549</v>
      </c>
      <c r="E61" s="4" t="s">
        <v>550</v>
      </c>
      <c r="F61" s="7"/>
      <c r="G61" s="6" t="n">
        <v>173.09</v>
      </c>
      <c r="H61" s="6" t="n">
        <v>807.83</v>
      </c>
      <c r="I61" s="7" t="n">
        <f aca="false">ROUND(H60+N(F61)-N(G61)-H61,2)</f>
        <v>0</v>
      </c>
      <c r="J61" s="4" t="s">
        <v>428</v>
      </c>
      <c r="K61" s="4"/>
      <c r="L61" s="4" t="s">
        <v>163</v>
      </c>
      <c r="M61" s="12" t="s">
        <v>429</v>
      </c>
      <c r="N61" s="4" t="s">
        <v>548</v>
      </c>
    </row>
    <row r="62" customFormat="false" ht="22.35" hidden="false" customHeight="false" outlineLevel="0" collapsed="false">
      <c r="A62" s="4" t="n">
        <v>56</v>
      </c>
      <c r="B62" s="5" t="n">
        <v>46295</v>
      </c>
      <c r="C62" s="4" t="s">
        <v>535</v>
      </c>
      <c r="D62" s="4" t="s">
        <v>551</v>
      </c>
      <c r="E62" s="4" t="s">
        <v>552</v>
      </c>
      <c r="F62" s="7"/>
      <c r="G62" s="6" t="n">
        <v>8.87</v>
      </c>
      <c r="H62" s="6" t="n">
        <v>798.96</v>
      </c>
      <c r="I62" s="7" t="n">
        <f aca="false">ROUND(H61+N(F62)-N(G62)-H62,2)</f>
        <v>0</v>
      </c>
      <c r="J62" s="4" t="s">
        <v>428</v>
      </c>
      <c r="K62" s="4"/>
      <c r="L62" s="4" t="s">
        <v>163</v>
      </c>
      <c r="M62" s="12" t="s">
        <v>429</v>
      </c>
      <c r="N62" s="4" t="s">
        <v>548</v>
      </c>
    </row>
    <row r="63" customFormat="false" ht="15" hidden="false" customHeight="false" outlineLevel="0" collapsed="false">
      <c r="A63" s="4" t="n">
        <v>57</v>
      </c>
      <c r="B63" s="5" t="n">
        <v>46295</v>
      </c>
      <c r="C63" s="4" t="s">
        <v>535</v>
      </c>
      <c r="D63" s="4" t="s">
        <v>453</v>
      </c>
      <c r="E63" s="4"/>
      <c r="F63" s="7"/>
      <c r="G63" s="6" t="n">
        <v>15</v>
      </c>
      <c r="H63" s="6" t="n">
        <v>783.96</v>
      </c>
      <c r="I63" s="7" t="n">
        <f aca="false">ROUND(H62+N(F63)-N(G63)-H63,2)</f>
        <v>0</v>
      </c>
      <c r="J63" s="4" t="s">
        <v>450</v>
      </c>
      <c r="K63" s="4"/>
      <c r="L63" s="4" t="s">
        <v>451</v>
      </c>
      <c r="M63" s="8" t="s">
        <v>423</v>
      </c>
      <c r="N63" s="4" t="s">
        <v>454</v>
      </c>
    </row>
    <row r="64" customFormat="false" ht="22.35" hidden="false" customHeight="false" outlineLevel="0" collapsed="false">
      <c r="D64" s="13" t="s">
        <v>553</v>
      </c>
      <c r="F64" s="14" t="n">
        <f aca="false">SUM(F7:F63)</f>
        <v>5614.55</v>
      </c>
      <c r="G64" s="14" t="n">
        <f aca="false">SUM(G7:G63)</f>
        <v>4833.51</v>
      </c>
      <c r="H64" s="14" t="n">
        <f aca="false">H6+F64-G64</f>
        <v>783.96</v>
      </c>
      <c r="I64" s="14" t="n">
        <f aca="false">ROUND(H64-H63,2)</f>
        <v>0</v>
      </c>
      <c r="J64" s="13" t="s">
        <v>554</v>
      </c>
      <c r="K64" s="15" t="n">
        <v>783.96</v>
      </c>
    </row>
  </sheetData>
  <autoFilter ref="A5:N63"/>
  <conditionalFormatting sqref="I7:I64">
    <cfRule type="cellIs" priority="2" operator="not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34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55"/>
  </cols>
  <sheetData>
    <row r="1" customFormat="false" ht="16.15" hidden="false" customHeight="false" outlineLevel="0" collapsed="false">
      <c r="A1" s="1" t="s">
        <v>555</v>
      </c>
    </row>
    <row r="2" customFormat="false" ht="15" hidden="false" customHeight="false" outlineLevel="0" collapsed="false">
      <c r="A2" s="2" t="s">
        <v>556</v>
      </c>
    </row>
    <row r="3" customFormat="false" ht="15" hidden="false" customHeight="false" outlineLevel="0" collapsed="false">
      <c r="A3" s="2" t="s">
        <v>406</v>
      </c>
    </row>
    <row r="5" customFormat="false" ht="42" hidden="false" customHeight="true" outlineLevel="0" collapsed="false">
      <c r="A5" s="3" t="s">
        <v>4</v>
      </c>
      <c r="B5" s="3" t="s">
        <v>407</v>
      </c>
      <c r="C5" s="3" t="s">
        <v>408</v>
      </c>
      <c r="D5" s="3" t="s">
        <v>409</v>
      </c>
      <c r="E5" s="3" t="s">
        <v>410</v>
      </c>
      <c r="F5" s="3" t="s">
        <v>557</v>
      </c>
      <c r="G5" s="3" t="s">
        <v>558</v>
      </c>
      <c r="H5" s="3" t="s">
        <v>559</v>
      </c>
      <c r="I5" s="3" t="s">
        <v>414</v>
      </c>
      <c r="J5" s="3" t="s">
        <v>415</v>
      </c>
      <c r="K5" s="3" t="s">
        <v>416</v>
      </c>
      <c r="L5" s="3" t="s">
        <v>140</v>
      </c>
      <c r="M5" s="3" t="s">
        <v>417</v>
      </c>
      <c r="N5" s="3" t="s">
        <v>23</v>
      </c>
    </row>
    <row r="6" customFormat="false" ht="15" hidden="false" customHeight="false" outlineLevel="0" collapsed="false">
      <c r="D6" s="13" t="s">
        <v>418</v>
      </c>
      <c r="H6" s="15" t="n">
        <v>2663.88</v>
      </c>
    </row>
    <row r="7" customFormat="false" ht="32.8" hidden="false" customHeight="false" outlineLevel="0" collapsed="false">
      <c r="A7" s="4" t="n">
        <v>1</v>
      </c>
      <c r="B7" s="5" t="n">
        <v>46034</v>
      </c>
      <c r="C7" s="4" t="s">
        <v>419</v>
      </c>
      <c r="D7" s="4" t="s">
        <v>431</v>
      </c>
      <c r="E7" s="4" t="s">
        <v>432</v>
      </c>
      <c r="F7" s="7"/>
      <c r="G7" s="6" t="n">
        <v>2000</v>
      </c>
      <c r="H7" s="6" t="n">
        <v>663.88</v>
      </c>
      <c r="I7" s="7" t="n">
        <f aca="false">ROUND(H6+N(F7)-N(G7)-H7,2)</f>
        <v>0</v>
      </c>
      <c r="J7" s="4" t="s">
        <v>433</v>
      </c>
      <c r="K7" s="4" t="s">
        <v>560</v>
      </c>
      <c r="L7" s="4" t="s">
        <v>561</v>
      </c>
      <c r="M7" s="8" t="s">
        <v>423</v>
      </c>
      <c r="N7" s="4" t="s">
        <v>483</v>
      </c>
    </row>
    <row r="8" customFormat="false" ht="15" hidden="false" customHeight="false" outlineLevel="0" collapsed="false">
      <c r="A8" s="4" t="n">
        <v>2</v>
      </c>
      <c r="B8" s="5" t="n">
        <v>46053</v>
      </c>
      <c r="C8" s="4" t="s">
        <v>419</v>
      </c>
      <c r="D8" s="4" t="s">
        <v>453</v>
      </c>
      <c r="E8" s="4"/>
      <c r="F8" s="7"/>
      <c r="G8" s="6" t="n">
        <v>28</v>
      </c>
      <c r="H8" s="6" t="n">
        <v>635.88</v>
      </c>
      <c r="I8" s="7" t="n">
        <f aca="false">ROUND(H7+N(F8)-N(G8)-H8,2)</f>
        <v>0</v>
      </c>
      <c r="J8" s="4" t="s">
        <v>450</v>
      </c>
      <c r="K8" s="4"/>
      <c r="L8" s="4" t="s">
        <v>451</v>
      </c>
      <c r="M8" s="8" t="s">
        <v>423</v>
      </c>
      <c r="N8" s="4" t="s">
        <v>454</v>
      </c>
    </row>
    <row r="9" customFormat="false" ht="15" hidden="false" customHeight="false" outlineLevel="0" collapsed="false">
      <c r="A9" s="4" t="n">
        <v>3</v>
      </c>
      <c r="B9" s="5" t="n">
        <v>46081</v>
      </c>
      <c r="C9" s="4" t="s">
        <v>455</v>
      </c>
      <c r="D9" s="4" t="s">
        <v>453</v>
      </c>
      <c r="E9" s="4"/>
      <c r="F9" s="7"/>
      <c r="G9" s="6" t="n">
        <v>28</v>
      </c>
      <c r="H9" s="6" t="n">
        <v>607.88</v>
      </c>
      <c r="I9" s="7" t="n">
        <f aca="false">ROUND(H8+N(F9)-N(G9)-H9,2)</f>
        <v>0</v>
      </c>
      <c r="J9" s="4" t="s">
        <v>450</v>
      </c>
      <c r="K9" s="4"/>
      <c r="L9" s="4" t="s">
        <v>451</v>
      </c>
      <c r="M9" s="8" t="s">
        <v>423</v>
      </c>
      <c r="N9" s="4" t="s">
        <v>454</v>
      </c>
    </row>
    <row r="10" customFormat="false" ht="15" hidden="false" customHeight="false" outlineLevel="0" collapsed="false">
      <c r="A10" s="4" t="n">
        <v>4</v>
      </c>
      <c r="B10" s="5" t="n">
        <v>46112</v>
      </c>
      <c r="C10" s="4" t="s">
        <v>464</v>
      </c>
      <c r="D10" s="4" t="s">
        <v>453</v>
      </c>
      <c r="E10" s="4"/>
      <c r="F10" s="7"/>
      <c r="G10" s="6" t="n">
        <v>28</v>
      </c>
      <c r="H10" s="6" t="n">
        <v>579.88</v>
      </c>
      <c r="I10" s="7" t="n">
        <f aca="false">ROUND(H9+N(F10)-N(G10)-H10,2)</f>
        <v>0</v>
      </c>
      <c r="J10" s="4" t="s">
        <v>450</v>
      </c>
      <c r="K10" s="4"/>
      <c r="L10" s="4" t="s">
        <v>451</v>
      </c>
      <c r="M10" s="8" t="s">
        <v>423</v>
      </c>
      <c r="N10" s="4" t="s">
        <v>454</v>
      </c>
    </row>
    <row r="11" customFormat="false" ht="32.8" hidden="false" customHeight="false" outlineLevel="0" collapsed="false">
      <c r="A11" s="4" t="n">
        <v>5</v>
      </c>
      <c r="B11" s="5" t="n">
        <v>46118</v>
      </c>
      <c r="C11" s="4" t="s">
        <v>478</v>
      </c>
      <c r="D11" s="4" t="s">
        <v>480</v>
      </c>
      <c r="E11" s="4" t="s">
        <v>481</v>
      </c>
      <c r="F11" s="7"/>
      <c r="G11" s="6" t="n">
        <v>550</v>
      </c>
      <c r="H11" s="6" t="n">
        <v>29.88</v>
      </c>
      <c r="I11" s="7" t="n">
        <f aca="false">ROUND(H10+N(F11)-N(G11)-H11,2)</f>
        <v>0</v>
      </c>
      <c r="J11" s="4" t="s">
        <v>433</v>
      </c>
      <c r="K11" s="4" t="s">
        <v>562</v>
      </c>
      <c r="L11" s="4" t="s">
        <v>561</v>
      </c>
      <c r="M11" s="8" t="s">
        <v>423</v>
      </c>
      <c r="N11" s="4" t="s">
        <v>483</v>
      </c>
    </row>
    <row r="12" customFormat="false" ht="15" hidden="false" customHeight="false" outlineLevel="0" collapsed="false">
      <c r="A12" s="4" t="n">
        <v>6</v>
      </c>
      <c r="B12" s="5" t="n">
        <v>46142</v>
      </c>
      <c r="C12" s="4" t="s">
        <v>478</v>
      </c>
      <c r="D12" s="4" t="s">
        <v>453</v>
      </c>
      <c r="E12" s="4"/>
      <c r="F12" s="7"/>
      <c r="G12" s="6" t="n">
        <v>28</v>
      </c>
      <c r="H12" s="6" t="n">
        <v>1.88</v>
      </c>
      <c r="I12" s="7" t="n">
        <f aca="false">ROUND(H11+N(F12)-N(G12)-H12,2)</f>
        <v>0</v>
      </c>
      <c r="J12" s="4" t="s">
        <v>450</v>
      </c>
      <c r="K12" s="4"/>
      <c r="L12" s="4" t="s">
        <v>451</v>
      </c>
      <c r="M12" s="8" t="s">
        <v>423</v>
      </c>
      <c r="N12" s="4" t="s">
        <v>454</v>
      </c>
    </row>
    <row r="13" customFormat="false" ht="15" hidden="false" customHeight="false" outlineLevel="0" collapsed="false">
      <c r="A13" s="4" t="n">
        <v>7</v>
      </c>
      <c r="B13" s="5" t="n">
        <v>46172</v>
      </c>
      <c r="C13" s="4" t="s">
        <v>500</v>
      </c>
      <c r="D13" s="4" t="s">
        <v>453</v>
      </c>
      <c r="E13" s="4"/>
      <c r="F13" s="7"/>
      <c r="G13" s="6" t="n">
        <v>28</v>
      </c>
      <c r="H13" s="6" t="n">
        <v>-26.12</v>
      </c>
      <c r="I13" s="7" t="n">
        <f aca="false">ROUND(H12+N(F13)-N(G13)-H13,2)</f>
        <v>0</v>
      </c>
      <c r="J13" s="4" t="s">
        <v>450</v>
      </c>
      <c r="K13" s="4"/>
      <c r="L13" s="4" t="s">
        <v>451</v>
      </c>
      <c r="M13" s="8" t="s">
        <v>423</v>
      </c>
      <c r="N13" s="4" t="s">
        <v>454</v>
      </c>
    </row>
    <row r="14" customFormat="false" ht="32.8" hidden="false" customHeight="false" outlineLevel="0" collapsed="false">
      <c r="A14" s="4" t="n">
        <v>8</v>
      </c>
      <c r="B14" s="5" t="n">
        <v>46176</v>
      </c>
      <c r="C14" s="4" t="s">
        <v>504</v>
      </c>
      <c r="D14" s="4" t="s">
        <v>510</v>
      </c>
      <c r="E14" s="4" t="s">
        <v>511</v>
      </c>
      <c r="F14" s="6" t="n">
        <v>100</v>
      </c>
      <c r="G14" s="7"/>
      <c r="H14" s="6" t="n">
        <v>73.88</v>
      </c>
      <c r="I14" s="7" t="n">
        <f aca="false">ROUND(H13+N(F14)-N(G14)-H14,2)</f>
        <v>0</v>
      </c>
      <c r="J14" s="4" t="s">
        <v>433</v>
      </c>
      <c r="K14" s="4" t="s">
        <v>563</v>
      </c>
      <c r="L14" s="4" t="s">
        <v>561</v>
      </c>
      <c r="M14" s="8" t="s">
        <v>423</v>
      </c>
      <c r="N14" s="4" t="s">
        <v>483</v>
      </c>
    </row>
    <row r="15" customFormat="false" ht="15" hidden="false" customHeight="false" outlineLevel="0" collapsed="false">
      <c r="A15" s="4" t="n">
        <v>9</v>
      </c>
      <c r="B15" s="5" t="n">
        <v>46203</v>
      </c>
      <c r="C15" s="4" t="s">
        <v>504</v>
      </c>
      <c r="D15" s="4" t="s">
        <v>453</v>
      </c>
      <c r="E15" s="4"/>
      <c r="F15" s="7"/>
      <c r="G15" s="6" t="n">
        <v>28</v>
      </c>
      <c r="H15" s="6" t="n">
        <v>45.88</v>
      </c>
      <c r="I15" s="7" t="n">
        <f aca="false">ROUND(H14+N(F15)-N(G15)-H15,2)</f>
        <v>0</v>
      </c>
      <c r="J15" s="4" t="s">
        <v>450</v>
      </c>
      <c r="K15" s="4"/>
      <c r="L15" s="4" t="s">
        <v>451</v>
      </c>
      <c r="M15" s="8" t="s">
        <v>423</v>
      </c>
      <c r="N15" s="4" t="s">
        <v>454</v>
      </c>
    </row>
    <row r="16" customFormat="false" ht="15" hidden="false" customHeight="false" outlineLevel="0" collapsed="false">
      <c r="A16" s="4" t="n">
        <v>10</v>
      </c>
      <c r="B16" s="5" t="n">
        <v>46203</v>
      </c>
      <c r="C16" s="4" t="s">
        <v>504</v>
      </c>
      <c r="D16" s="4" t="s">
        <v>564</v>
      </c>
      <c r="E16" s="4"/>
      <c r="F16" s="7"/>
      <c r="G16" s="6" t="n">
        <v>10</v>
      </c>
      <c r="H16" s="6" t="n">
        <v>35.88</v>
      </c>
      <c r="I16" s="7" t="n">
        <f aca="false">ROUND(H15+N(F16)-N(G16)-H16,2)</f>
        <v>0</v>
      </c>
      <c r="J16" s="4" t="s">
        <v>450</v>
      </c>
      <c r="K16" s="4"/>
      <c r="L16" s="4" t="s">
        <v>451</v>
      </c>
      <c r="M16" s="8" t="s">
        <v>423</v>
      </c>
      <c r="N16" s="4" t="s">
        <v>565</v>
      </c>
    </row>
    <row r="17" customFormat="false" ht="15" hidden="false" customHeight="false" outlineLevel="0" collapsed="false">
      <c r="A17" s="4" t="n">
        <v>11</v>
      </c>
      <c r="B17" s="5" t="n">
        <v>46234</v>
      </c>
      <c r="C17" s="4" t="s">
        <v>518</v>
      </c>
      <c r="D17" s="4" t="s">
        <v>453</v>
      </c>
      <c r="E17" s="4"/>
      <c r="F17" s="7"/>
      <c r="G17" s="6" t="n">
        <v>28</v>
      </c>
      <c r="H17" s="6" t="n">
        <v>7.88</v>
      </c>
      <c r="I17" s="7" t="n">
        <f aca="false">ROUND(H16+N(F17)-N(G17)-H17,2)</f>
        <v>0</v>
      </c>
      <c r="J17" s="4" t="s">
        <v>450</v>
      </c>
      <c r="K17" s="4"/>
      <c r="L17" s="4" t="s">
        <v>451</v>
      </c>
      <c r="M17" s="8" t="s">
        <v>423</v>
      </c>
      <c r="N17" s="4" t="s">
        <v>454</v>
      </c>
    </row>
    <row r="18" customFormat="false" ht="32.8" hidden="false" customHeight="false" outlineLevel="0" collapsed="false">
      <c r="A18" s="4" t="n">
        <v>12</v>
      </c>
      <c r="B18" s="5" t="n">
        <v>46238</v>
      </c>
      <c r="C18" s="4" t="s">
        <v>524</v>
      </c>
      <c r="D18" s="4" t="s">
        <v>566</v>
      </c>
      <c r="E18" s="4" t="s">
        <v>567</v>
      </c>
      <c r="F18" s="6" t="n">
        <v>15987.13</v>
      </c>
      <c r="G18" s="7"/>
      <c r="H18" s="6" t="n">
        <v>15995.01</v>
      </c>
      <c r="I18" s="7" t="n">
        <f aca="false">ROUND(H17+N(F18)-N(G18)-H18,2)</f>
        <v>0</v>
      </c>
      <c r="J18" s="4" t="s">
        <v>568</v>
      </c>
      <c r="K18" s="4" t="s">
        <v>569</v>
      </c>
      <c r="L18" s="4" t="s">
        <v>570</v>
      </c>
      <c r="M18" s="10" t="s">
        <v>571</v>
      </c>
      <c r="N18" s="4" t="s">
        <v>572</v>
      </c>
    </row>
    <row r="19" customFormat="false" ht="32.8" hidden="false" customHeight="false" outlineLevel="0" collapsed="false">
      <c r="A19" s="4" t="n">
        <v>13</v>
      </c>
      <c r="B19" s="5" t="n">
        <v>46239</v>
      </c>
      <c r="C19" s="4" t="s">
        <v>524</v>
      </c>
      <c r="D19" s="4" t="s">
        <v>528</v>
      </c>
      <c r="E19" s="4" t="s">
        <v>529</v>
      </c>
      <c r="F19" s="7"/>
      <c r="G19" s="6" t="n">
        <v>995</v>
      </c>
      <c r="H19" s="6" t="n">
        <v>15000.01</v>
      </c>
      <c r="I19" s="7" t="n">
        <f aca="false">ROUND(H18+N(F19)-N(G19)-H19,2)</f>
        <v>0</v>
      </c>
      <c r="J19" s="4" t="s">
        <v>433</v>
      </c>
      <c r="K19" s="4" t="s">
        <v>573</v>
      </c>
      <c r="L19" s="4" t="s">
        <v>561</v>
      </c>
      <c r="M19" s="8" t="s">
        <v>423</v>
      </c>
      <c r="N19" s="4" t="s">
        <v>483</v>
      </c>
    </row>
    <row r="20" customFormat="false" ht="22.35" hidden="false" customHeight="false" outlineLevel="0" collapsed="false">
      <c r="A20" s="4" t="n">
        <v>14</v>
      </c>
      <c r="B20" s="5" t="n">
        <v>46239</v>
      </c>
      <c r="C20" s="4" t="s">
        <v>524</v>
      </c>
      <c r="D20" s="4" t="s">
        <v>574</v>
      </c>
      <c r="E20" s="4" t="s">
        <v>575</v>
      </c>
      <c r="F20" s="7"/>
      <c r="G20" s="6" t="n">
        <v>15000</v>
      </c>
      <c r="H20" s="6" t="n">
        <v>0.01</v>
      </c>
      <c r="I20" s="7" t="n">
        <f aca="false">ROUND(H19+N(F20)-N(G20)-H20,2)</f>
        <v>0</v>
      </c>
      <c r="J20" s="4" t="s">
        <v>576</v>
      </c>
      <c r="K20" s="4" t="s">
        <v>577</v>
      </c>
      <c r="L20" s="4" t="s">
        <v>578</v>
      </c>
      <c r="M20" s="8" t="s">
        <v>423</v>
      </c>
      <c r="N20" s="4" t="s">
        <v>579</v>
      </c>
    </row>
    <row r="21" customFormat="false" ht="15" hidden="false" customHeight="false" outlineLevel="0" collapsed="false">
      <c r="A21" s="4" t="n">
        <v>15</v>
      </c>
      <c r="B21" s="5" t="n">
        <v>46265</v>
      </c>
      <c r="C21" s="4" t="s">
        <v>524</v>
      </c>
      <c r="D21" s="4" t="s">
        <v>453</v>
      </c>
      <c r="E21" s="4"/>
      <c r="F21" s="7"/>
      <c r="G21" s="6" t="n">
        <v>28</v>
      </c>
      <c r="H21" s="6" t="n">
        <v>-27.99</v>
      </c>
      <c r="I21" s="7" t="n">
        <f aca="false">ROUND(H20+N(F21)-N(G21)-H21,2)</f>
        <v>0</v>
      </c>
      <c r="J21" s="4" t="s">
        <v>450</v>
      </c>
      <c r="K21" s="4"/>
      <c r="L21" s="4" t="s">
        <v>451</v>
      </c>
      <c r="M21" s="8" t="s">
        <v>423</v>
      </c>
      <c r="N21" s="4" t="s">
        <v>454</v>
      </c>
    </row>
    <row r="22" customFormat="false" ht="32.8" hidden="false" customHeight="false" outlineLevel="0" collapsed="false">
      <c r="A22" s="4" t="n">
        <v>16</v>
      </c>
      <c r="B22" s="5" t="n">
        <v>46266</v>
      </c>
      <c r="C22" s="4" t="s">
        <v>535</v>
      </c>
      <c r="D22" s="4" t="s">
        <v>536</v>
      </c>
      <c r="E22" s="4" t="s">
        <v>537</v>
      </c>
      <c r="F22" s="6" t="n">
        <v>100</v>
      </c>
      <c r="G22" s="7"/>
      <c r="H22" s="6" t="n">
        <v>72.01</v>
      </c>
      <c r="I22" s="7" t="n">
        <f aca="false">ROUND(H21+N(F22)-N(G22)-H22,2)</f>
        <v>0</v>
      </c>
      <c r="J22" s="4" t="s">
        <v>433</v>
      </c>
      <c r="K22" s="4" t="s">
        <v>580</v>
      </c>
      <c r="L22" s="4" t="s">
        <v>561</v>
      </c>
      <c r="M22" s="8" t="s">
        <v>423</v>
      </c>
      <c r="N22" s="4" t="s">
        <v>483</v>
      </c>
    </row>
    <row r="23" customFormat="false" ht="15" hidden="false" customHeight="false" outlineLevel="0" collapsed="false">
      <c r="A23" s="4" t="n">
        <v>17</v>
      </c>
      <c r="B23" s="5" t="n">
        <v>46295</v>
      </c>
      <c r="C23" s="4" t="s">
        <v>535</v>
      </c>
      <c r="D23" s="4" t="s">
        <v>453</v>
      </c>
      <c r="E23" s="4"/>
      <c r="F23" s="7"/>
      <c r="G23" s="6" t="n">
        <v>28</v>
      </c>
      <c r="H23" s="6" t="n">
        <v>44.01</v>
      </c>
      <c r="I23" s="7" t="n">
        <f aca="false">ROUND(H22+N(F23)-N(G23)-H23,2)</f>
        <v>0</v>
      </c>
      <c r="J23" s="4" t="s">
        <v>450</v>
      </c>
      <c r="K23" s="4"/>
      <c r="L23" s="4" t="s">
        <v>451</v>
      </c>
      <c r="M23" s="8" t="s">
        <v>423</v>
      </c>
      <c r="N23" s="4" t="s">
        <v>454</v>
      </c>
    </row>
    <row r="24" customFormat="false" ht="22.35" hidden="false" customHeight="false" outlineLevel="0" collapsed="false">
      <c r="D24" s="13" t="s">
        <v>553</v>
      </c>
      <c r="F24" s="14" t="n">
        <f aca="false">SUM(F7:F23)</f>
        <v>16187.13</v>
      </c>
      <c r="G24" s="14" t="n">
        <f aca="false">SUM(G7:G23)</f>
        <v>18807</v>
      </c>
      <c r="H24" s="14" t="n">
        <f aca="false">H6+F24-G24</f>
        <v>44.0099999999984</v>
      </c>
      <c r="I24" s="14" t="n">
        <f aca="false">ROUND(H24-H23,2)</f>
        <v>-0</v>
      </c>
      <c r="J24" s="13" t="s">
        <v>554</v>
      </c>
      <c r="K24" s="15" t="n">
        <v>44.01</v>
      </c>
    </row>
  </sheetData>
  <autoFilter ref="A5:N23"/>
  <conditionalFormatting sqref="I7:I24">
    <cfRule type="cellIs" priority="2" operator="not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34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55"/>
  </cols>
  <sheetData>
    <row r="1" customFormat="false" ht="16.15" hidden="false" customHeight="false" outlineLevel="0" collapsed="false">
      <c r="A1" s="1" t="s">
        <v>581</v>
      </c>
    </row>
    <row r="2" customFormat="false" ht="15" hidden="false" customHeight="false" outlineLevel="0" collapsed="false">
      <c r="A2" s="2" t="s">
        <v>582</v>
      </c>
    </row>
    <row r="3" customFormat="false" ht="15" hidden="false" customHeight="false" outlineLevel="0" collapsed="false">
      <c r="A3" s="2" t="s">
        <v>406</v>
      </c>
    </row>
    <row r="5" customFormat="false" ht="42" hidden="false" customHeight="true" outlineLevel="0" collapsed="false">
      <c r="A5" s="3" t="s">
        <v>4</v>
      </c>
      <c r="B5" s="3" t="s">
        <v>407</v>
      </c>
      <c r="C5" s="3" t="s">
        <v>408</v>
      </c>
      <c r="D5" s="3" t="s">
        <v>409</v>
      </c>
      <c r="E5" s="3" t="s">
        <v>410</v>
      </c>
      <c r="F5" s="3" t="s">
        <v>583</v>
      </c>
      <c r="G5" s="3" t="s">
        <v>584</v>
      </c>
      <c r="H5" s="3" t="s">
        <v>585</v>
      </c>
      <c r="I5" s="3" t="s">
        <v>414</v>
      </c>
      <c r="J5" s="3" t="s">
        <v>415</v>
      </c>
      <c r="K5" s="3" t="s">
        <v>416</v>
      </c>
      <c r="L5" s="3" t="s">
        <v>140</v>
      </c>
      <c r="M5" s="3" t="s">
        <v>417</v>
      </c>
      <c r="N5" s="3" t="s">
        <v>23</v>
      </c>
    </row>
    <row r="6" customFormat="false" ht="15" hidden="false" customHeight="false" outlineLevel="0" collapsed="false">
      <c r="D6" s="13" t="s">
        <v>418</v>
      </c>
      <c r="H6" s="15" t="n">
        <v>1662.49</v>
      </c>
    </row>
    <row r="7" customFormat="false" ht="22.35" hidden="false" customHeight="false" outlineLevel="0" collapsed="false">
      <c r="A7" s="4" t="n">
        <v>1</v>
      </c>
      <c r="B7" s="5" t="n">
        <v>46023</v>
      </c>
      <c r="C7" s="4" t="s">
        <v>419</v>
      </c>
      <c r="D7" s="4" t="s">
        <v>586</v>
      </c>
      <c r="E7" s="4" t="s">
        <v>587</v>
      </c>
      <c r="F7" s="7"/>
      <c r="G7" s="6" t="n">
        <v>16.17</v>
      </c>
      <c r="H7" s="6" t="n">
        <v>1646.32</v>
      </c>
      <c r="I7" s="7" t="n">
        <f aca="false">ROUND(H6+N(F7)-N(G7)-H7,2)</f>
        <v>0</v>
      </c>
      <c r="J7" s="4" t="s">
        <v>428</v>
      </c>
      <c r="K7" s="4"/>
      <c r="L7" s="4" t="s">
        <v>152</v>
      </c>
      <c r="M7" s="12" t="s">
        <v>429</v>
      </c>
      <c r="N7" s="4" t="s">
        <v>517</v>
      </c>
    </row>
    <row r="8" customFormat="false" ht="22.35" hidden="false" customHeight="false" outlineLevel="0" collapsed="false">
      <c r="A8" s="4" t="n">
        <v>2</v>
      </c>
      <c r="B8" s="5" t="n">
        <v>46028</v>
      </c>
      <c r="C8" s="4" t="s">
        <v>419</v>
      </c>
      <c r="D8" s="4" t="s">
        <v>588</v>
      </c>
      <c r="E8" s="4" t="s">
        <v>164</v>
      </c>
      <c r="F8" s="7"/>
      <c r="G8" s="6" t="n">
        <v>8.28</v>
      </c>
      <c r="H8" s="6" t="n">
        <v>1638.04</v>
      </c>
      <c r="I8" s="7" t="n">
        <f aca="false">ROUND(H7+N(F8)-N(G8)-H8,2)</f>
        <v>0</v>
      </c>
      <c r="J8" s="4" t="s">
        <v>428</v>
      </c>
      <c r="K8" s="4" t="s">
        <v>589</v>
      </c>
      <c r="L8" s="4" t="s">
        <v>163</v>
      </c>
      <c r="M8" s="9" t="s">
        <v>440</v>
      </c>
      <c r="N8" s="4" t="s">
        <v>590</v>
      </c>
    </row>
    <row r="9" customFormat="false" ht="22.35" hidden="false" customHeight="false" outlineLevel="0" collapsed="false">
      <c r="A9" s="4" t="n">
        <v>3</v>
      </c>
      <c r="B9" s="5" t="n">
        <v>46028</v>
      </c>
      <c r="C9" s="4" t="s">
        <v>419</v>
      </c>
      <c r="D9" s="4" t="s">
        <v>591</v>
      </c>
      <c r="E9" s="4" t="s">
        <v>169</v>
      </c>
      <c r="F9" s="7"/>
      <c r="G9" s="6" t="n">
        <v>7.94</v>
      </c>
      <c r="H9" s="6" t="n">
        <v>1630.1</v>
      </c>
      <c r="I9" s="7" t="n">
        <f aca="false">ROUND(H8+N(F9)-N(G9)-H9,2)</f>
        <v>0</v>
      </c>
      <c r="J9" s="4" t="s">
        <v>428</v>
      </c>
      <c r="K9" s="4" t="s">
        <v>592</v>
      </c>
      <c r="L9" s="4" t="s">
        <v>163</v>
      </c>
      <c r="M9" s="9" t="s">
        <v>440</v>
      </c>
      <c r="N9" s="4" t="s">
        <v>590</v>
      </c>
    </row>
    <row r="10" customFormat="false" ht="32.8" hidden="false" customHeight="false" outlineLevel="0" collapsed="false">
      <c r="A10" s="4" t="n">
        <v>4</v>
      </c>
      <c r="B10" s="5" t="n">
        <v>46037</v>
      </c>
      <c r="C10" s="4" t="s">
        <v>419</v>
      </c>
      <c r="D10" s="4" t="s">
        <v>593</v>
      </c>
      <c r="E10" s="4" t="s">
        <v>594</v>
      </c>
      <c r="F10" s="6" t="n">
        <v>2820.34</v>
      </c>
      <c r="G10" s="7"/>
      <c r="H10" s="6" t="n">
        <v>4450.44</v>
      </c>
      <c r="I10" s="7" t="n">
        <f aca="false">ROUND(H9+N(F10)-N(G10)-H10,2)</f>
        <v>0</v>
      </c>
      <c r="J10" s="4" t="s">
        <v>595</v>
      </c>
      <c r="K10" s="4" t="s">
        <v>596</v>
      </c>
      <c r="L10" s="4" t="s">
        <v>597</v>
      </c>
      <c r="M10" s="9" t="s">
        <v>440</v>
      </c>
      <c r="N10" s="4" t="s">
        <v>598</v>
      </c>
    </row>
    <row r="11" customFormat="false" ht="22.35" hidden="false" customHeight="false" outlineLevel="0" collapsed="false">
      <c r="A11" s="4" t="n">
        <v>5</v>
      </c>
      <c r="B11" s="5" t="n">
        <v>46039</v>
      </c>
      <c r="C11" s="4" t="s">
        <v>419</v>
      </c>
      <c r="D11" s="4" t="s">
        <v>599</v>
      </c>
      <c r="E11" s="4" t="s">
        <v>600</v>
      </c>
      <c r="F11" s="7"/>
      <c r="G11" s="6" t="n">
        <v>42.86</v>
      </c>
      <c r="H11" s="6" t="n">
        <v>4407.58</v>
      </c>
      <c r="I11" s="7" t="n">
        <f aca="false">ROUND(H10+N(F11)-N(G11)-H11,2)</f>
        <v>0</v>
      </c>
      <c r="J11" s="4" t="s">
        <v>428</v>
      </c>
      <c r="K11" s="4"/>
      <c r="L11" s="4" t="s">
        <v>152</v>
      </c>
      <c r="M11" s="12" t="s">
        <v>429</v>
      </c>
      <c r="N11" s="4" t="s">
        <v>601</v>
      </c>
    </row>
    <row r="12" customFormat="false" ht="32.8" hidden="false" customHeight="false" outlineLevel="0" collapsed="false">
      <c r="A12" s="4" t="n">
        <v>6</v>
      </c>
      <c r="B12" s="5" t="n">
        <v>46041</v>
      </c>
      <c r="C12" s="4" t="s">
        <v>419</v>
      </c>
      <c r="D12" s="4" t="s">
        <v>602</v>
      </c>
      <c r="E12" s="4" t="s">
        <v>603</v>
      </c>
      <c r="F12" s="7"/>
      <c r="G12" s="6" t="n">
        <v>305.28</v>
      </c>
      <c r="H12" s="6" t="n">
        <v>4102.3</v>
      </c>
      <c r="I12" s="7" t="n">
        <f aca="false">ROUND(H11+N(F12)-N(G12)-H12,2)</f>
        <v>0</v>
      </c>
      <c r="J12" s="4" t="s">
        <v>604</v>
      </c>
      <c r="K12" s="4"/>
      <c r="L12" s="4" t="s">
        <v>163</v>
      </c>
      <c r="M12" s="10" t="s">
        <v>60</v>
      </c>
      <c r="N12" s="4" t="s">
        <v>605</v>
      </c>
    </row>
    <row r="13" customFormat="false" ht="22.35" hidden="false" customHeight="false" outlineLevel="0" collapsed="false">
      <c r="A13" s="4" t="n">
        <v>7</v>
      </c>
      <c r="B13" s="5" t="n">
        <v>46041</v>
      </c>
      <c r="C13" s="4" t="s">
        <v>419</v>
      </c>
      <c r="D13" s="4" t="s">
        <v>606</v>
      </c>
      <c r="E13" s="4" t="s">
        <v>607</v>
      </c>
      <c r="F13" s="7"/>
      <c r="G13" s="6" t="n">
        <v>69.7</v>
      </c>
      <c r="H13" s="6" t="n">
        <v>4032.6</v>
      </c>
      <c r="I13" s="7" t="n">
        <f aca="false">ROUND(H12+N(F13)-N(G13)-H13,2)</f>
        <v>0</v>
      </c>
      <c r="J13" s="4" t="s">
        <v>428</v>
      </c>
      <c r="K13" s="4"/>
      <c r="L13" s="4" t="s">
        <v>495</v>
      </c>
      <c r="M13" s="12" t="s">
        <v>429</v>
      </c>
      <c r="N13" s="4" t="s">
        <v>496</v>
      </c>
    </row>
    <row r="14" customFormat="false" ht="22.35" hidden="false" customHeight="false" outlineLevel="0" collapsed="false">
      <c r="A14" s="4" t="n">
        <v>8</v>
      </c>
      <c r="B14" s="5" t="n">
        <v>46043</v>
      </c>
      <c r="C14" s="4" t="s">
        <v>419</v>
      </c>
      <c r="D14" s="4" t="s">
        <v>608</v>
      </c>
      <c r="E14" s="4" t="s">
        <v>176</v>
      </c>
      <c r="F14" s="7"/>
      <c r="G14" s="6" t="n">
        <v>252.16</v>
      </c>
      <c r="H14" s="6" t="n">
        <v>3780.44</v>
      </c>
      <c r="I14" s="7" t="n">
        <f aca="false">ROUND(H13+N(F14)-N(G14)-H14,2)</f>
        <v>0</v>
      </c>
      <c r="J14" s="4" t="s">
        <v>438</v>
      </c>
      <c r="K14" s="4" t="s">
        <v>609</v>
      </c>
      <c r="L14" s="4" t="s">
        <v>152</v>
      </c>
      <c r="M14" s="9" t="s">
        <v>440</v>
      </c>
      <c r="N14" s="4" t="s">
        <v>610</v>
      </c>
    </row>
    <row r="15" customFormat="false" ht="22.35" hidden="false" customHeight="false" outlineLevel="0" collapsed="false">
      <c r="A15" s="4" t="n">
        <v>9</v>
      </c>
      <c r="B15" s="5" t="n">
        <v>46050</v>
      </c>
      <c r="C15" s="4" t="s">
        <v>419</v>
      </c>
      <c r="D15" s="4" t="s">
        <v>611</v>
      </c>
      <c r="E15" s="4" t="s">
        <v>612</v>
      </c>
      <c r="F15" s="7"/>
      <c r="G15" s="6" t="n">
        <v>3780.44</v>
      </c>
      <c r="H15" s="6" t="n">
        <v>0</v>
      </c>
      <c r="I15" s="7" t="n">
        <f aca="false">ROUND(H14+N(F15)-N(G15)-H15,2)</f>
        <v>0</v>
      </c>
      <c r="J15" s="4" t="s">
        <v>613</v>
      </c>
      <c r="K15" s="4" t="s">
        <v>614</v>
      </c>
      <c r="L15" s="4" t="s">
        <v>615</v>
      </c>
      <c r="M15" s="8" t="s">
        <v>423</v>
      </c>
      <c r="N15" s="4" t="s">
        <v>616</v>
      </c>
    </row>
    <row r="16" customFormat="false" ht="22.35" hidden="false" customHeight="false" outlineLevel="0" collapsed="false">
      <c r="A16" s="4" t="n">
        <v>10</v>
      </c>
      <c r="B16" s="5" t="n">
        <v>46090</v>
      </c>
      <c r="C16" s="4" t="s">
        <v>464</v>
      </c>
      <c r="D16" s="4" t="s">
        <v>617</v>
      </c>
      <c r="E16" s="4" t="s">
        <v>91</v>
      </c>
      <c r="F16" s="6" t="n">
        <v>3398.22</v>
      </c>
      <c r="G16" s="7"/>
      <c r="H16" s="6" t="n">
        <v>3398.22</v>
      </c>
      <c r="I16" s="7" t="n">
        <f aca="false">ROUND(H15+N(F16)-N(G16)-H16,2)</f>
        <v>0</v>
      </c>
      <c r="J16" s="4" t="s">
        <v>618</v>
      </c>
      <c r="K16" s="4" t="s">
        <v>619</v>
      </c>
      <c r="L16" s="4" t="s">
        <v>620</v>
      </c>
      <c r="M16" s="9" t="s">
        <v>440</v>
      </c>
      <c r="N16" s="4" t="s">
        <v>621</v>
      </c>
    </row>
    <row r="17" customFormat="false" ht="22.35" hidden="false" customHeight="false" outlineLevel="0" collapsed="false">
      <c r="A17" s="4" t="n">
        <v>11</v>
      </c>
      <c r="B17" s="5" t="n">
        <v>46100</v>
      </c>
      <c r="C17" s="4" t="s">
        <v>464</v>
      </c>
      <c r="D17" s="4" t="s">
        <v>622</v>
      </c>
      <c r="E17" s="4" t="s">
        <v>623</v>
      </c>
      <c r="F17" s="7"/>
      <c r="G17" s="6" t="n">
        <v>102.59</v>
      </c>
      <c r="H17" s="6" t="n">
        <v>3295.63</v>
      </c>
      <c r="I17" s="7" t="n">
        <f aca="false">ROUND(H16+N(F17)-N(G17)-H17,2)</f>
        <v>0</v>
      </c>
      <c r="J17" s="4" t="s">
        <v>428</v>
      </c>
      <c r="K17" s="4"/>
      <c r="L17" s="4" t="s">
        <v>495</v>
      </c>
      <c r="M17" s="12" t="s">
        <v>429</v>
      </c>
      <c r="N17" s="4" t="s">
        <v>496</v>
      </c>
    </row>
    <row r="18" customFormat="false" ht="22.35" hidden="false" customHeight="false" outlineLevel="0" collapsed="false">
      <c r="A18" s="4" t="n">
        <v>12</v>
      </c>
      <c r="B18" s="5" t="n">
        <v>46102</v>
      </c>
      <c r="C18" s="4" t="s">
        <v>464</v>
      </c>
      <c r="D18" s="4" t="s">
        <v>608</v>
      </c>
      <c r="E18" s="4" t="s">
        <v>283</v>
      </c>
      <c r="F18" s="7"/>
      <c r="G18" s="6" t="n">
        <v>255.34</v>
      </c>
      <c r="H18" s="6" t="n">
        <v>3040.29</v>
      </c>
      <c r="I18" s="7" t="n">
        <f aca="false">ROUND(H17+N(F18)-N(G18)-H18,2)</f>
        <v>0</v>
      </c>
      <c r="J18" s="4" t="s">
        <v>438</v>
      </c>
      <c r="K18" s="4" t="s">
        <v>624</v>
      </c>
      <c r="L18" s="4" t="s">
        <v>152</v>
      </c>
      <c r="M18" s="9" t="s">
        <v>440</v>
      </c>
      <c r="N18" s="4" t="s">
        <v>610</v>
      </c>
    </row>
    <row r="19" customFormat="false" ht="22.35" hidden="false" customHeight="false" outlineLevel="0" collapsed="false">
      <c r="A19" s="4" t="n">
        <v>13</v>
      </c>
      <c r="B19" s="5" t="n">
        <v>46107</v>
      </c>
      <c r="C19" s="4" t="s">
        <v>464</v>
      </c>
      <c r="D19" s="4" t="s">
        <v>625</v>
      </c>
      <c r="E19" s="4" t="s">
        <v>626</v>
      </c>
      <c r="F19" s="7"/>
      <c r="G19" s="6" t="n">
        <v>20.32</v>
      </c>
      <c r="H19" s="6" t="n">
        <v>3019.97</v>
      </c>
      <c r="I19" s="7" t="n">
        <f aca="false">ROUND(H18+N(F19)-N(G19)-H19,2)</f>
        <v>0</v>
      </c>
      <c r="J19" s="4" t="s">
        <v>428</v>
      </c>
      <c r="K19" s="4"/>
      <c r="L19" s="4" t="s">
        <v>152</v>
      </c>
      <c r="M19" s="12" t="s">
        <v>429</v>
      </c>
      <c r="N19" s="4" t="s">
        <v>627</v>
      </c>
    </row>
    <row r="20" customFormat="false" ht="22.35" hidden="false" customHeight="false" outlineLevel="0" collapsed="false">
      <c r="A20" s="4" t="n">
        <v>14</v>
      </c>
      <c r="B20" s="5" t="n">
        <v>46113</v>
      </c>
      <c r="C20" s="4" t="s">
        <v>478</v>
      </c>
      <c r="D20" s="4" t="s">
        <v>628</v>
      </c>
      <c r="E20" s="4" t="s">
        <v>629</v>
      </c>
      <c r="F20" s="7"/>
      <c r="G20" s="6" t="n">
        <v>318.07</v>
      </c>
      <c r="H20" s="6" t="n">
        <v>2701.9</v>
      </c>
      <c r="I20" s="7" t="n">
        <f aca="false">ROUND(H19+N(F20)-N(G20)-H20,2)</f>
        <v>0</v>
      </c>
      <c r="J20" s="4" t="s">
        <v>428</v>
      </c>
      <c r="K20" s="4"/>
      <c r="L20" s="4" t="s">
        <v>152</v>
      </c>
      <c r="M20" s="12" t="s">
        <v>429</v>
      </c>
      <c r="N20" s="4" t="s">
        <v>517</v>
      </c>
    </row>
    <row r="21" customFormat="false" ht="32.8" hidden="false" customHeight="false" outlineLevel="0" collapsed="false">
      <c r="A21" s="4" t="n">
        <v>15</v>
      </c>
      <c r="B21" s="5" t="n">
        <v>46114</v>
      </c>
      <c r="C21" s="4" t="s">
        <v>478</v>
      </c>
      <c r="D21" s="4" t="s">
        <v>630</v>
      </c>
      <c r="E21" s="4" t="s">
        <v>37</v>
      </c>
      <c r="F21" s="6" t="n">
        <v>1554.66</v>
      </c>
      <c r="G21" s="7"/>
      <c r="H21" s="6" t="n">
        <v>4256.56</v>
      </c>
      <c r="I21" s="7" t="n">
        <f aca="false">ROUND(H20+N(F21)-N(G21)-H21,2)</f>
        <v>0</v>
      </c>
      <c r="J21" s="4" t="s">
        <v>631</v>
      </c>
      <c r="K21" s="4" t="s">
        <v>632</v>
      </c>
      <c r="L21" s="4" t="s">
        <v>597</v>
      </c>
      <c r="M21" s="9" t="s">
        <v>440</v>
      </c>
      <c r="N21" s="4" t="s">
        <v>633</v>
      </c>
    </row>
    <row r="22" customFormat="false" ht="22.35" hidden="false" customHeight="false" outlineLevel="0" collapsed="false">
      <c r="A22" s="4" t="n">
        <v>16</v>
      </c>
      <c r="B22" s="5" t="n">
        <v>46116</v>
      </c>
      <c r="C22" s="4" t="s">
        <v>478</v>
      </c>
      <c r="D22" s="4" t="s">
        <v>634</v>
      </c>
      <c r="E22" s="4" t="s">
        <v>635</v>
      </c>
      <c r="F22" s="7"/>
      <c r="G22" s="6" t="n">
        <v>19.02</v>
      </c>
      <c r="H22" s="6" t="n">
        <v>4237.54</v>
      </c>
      <c r="I22" s="7" t="n">
        <f aca="false">ROUND(H21+N(F22)-N(G22)-H22,2)</f>
        <v>0</v>
      </c>
      <c r="J22" s="4" t="s">
        <v>428</v>
      </c>
      <c r="K22" s="4"/>
      <c r="L22" s="4" t="s">
        <v>152</v>
      </c>
      <c r="M22" s="12" t="s">
        <v>429</v>
      </c>
      <c r="N22" s="4" t="s">
        <v>636</v>
      </c>
    </row>
    <row r="23" customFormat="false" ht="22.35" hidden="false" customHeight="false" outlineLevel="0" collapsed="false">
      <c r="A23" s="4" t="n">
        <v>17</v>
      </c>
      <c r="B23" s="5" t="n">
        <v>46118</v>
      </c>
      <c r="C23" s="4" t="s">
        <v>478</v>
      </c>
      <c r="D23" s="4" t="s">
        <v>637</v>
      </c>
      <c r="E23" s="4" t="s">
        <v>638</v>
      </c>
      <c r="F23" s="7"/>
      <c r="G23" s="6" t="n">
        <v>445.04</v>
      </c>
      <c r="H23" s="6" t="n">
        <v>3792.5</v>
      </c>
      <c r="I23" s="7" t="n">
        <f aca="false">ROUND(H22+N(F23)-N(G23)-H23,2)</f>
        <v>0</v>
      </c>
      <c r="J23" s="4" t="s">
        <v>613</v>
      </c>
      <c r="K23" s="4" t="s">
        <v>639</v>
      </c>
      <c r="L23" s="4" t="s">
        <v>640</v>
      </c>
      <c r="M23" s="10" t="s">
        <v>641</v>
      </c>
      <c r="N23" s="4" t="s">
        <v>642</v>
      </c>
    </row>
    <row r="24" customFormat="false" ht="22.35" hidden="false" customHeight="false" outlineLevel="0" collapsed="false">
      <c r="A24" s="4" t="n">
        <v>18</v>
      </c>
      <c r="B24" s="5" t="n">
        <v>46118</v>
      </c>
      <c r="C24" s="4" t="s">
        <v>478</v>
      </c>
      <c r="D24" s="4" t="s">
        <v>643</v>
      </c>
      <c r="E24" s="4" t="s">
        <v>644</v>
      </c>
      <c r="F24" s="7"/>
      <c r="G24" s="6" t="n">
        <v>957.55</v>
      </c>
      <c r="H24" s="6" t="n">
        <v>2834.95</v>
      </c>
      <c r="I24" s="7" t="n">
        <f aca="false">ROUND(H23+N(F24)-N(G24)-H24,2)</f>
        <v>0</v>
      </c>
      <c r="J24" s="4" t="s">
        <v>613</v>
      </c>
      <c r="K24" s="4" t="s">
        <v>645</v>
      </c>
      <c r="L24" s="4" t="s">
        <v>615</v>
      </c>
      <c r="M24" s="8" t="s">
        <v>423</v>
      </c>
      <c r="N24" s="4" t="s">
        <v>616</v>
      </c>
    </row>
    <row r="25" customFormat="false" ht="22.35" hidden="false" customHeight="false" outlineLevel="0" collapsed="false">
      <c r="A25" s="4" t="n">
        <v>19</v>
      </c>
      <c r="B25" s="5" t="n">
        <v>46122</v>
      </c>
      <c r="C25" s="4" t="s">
        <v>478</v>
      </c>
      <c r="D25" s="4" t="s">
        <v>646</v>
      </c>
      <c r="E25" s="4" t="s">
        <v>103</v>
      </c>
      <c r="F25" s="6" t="n">
        <v>6309.66</v>
      </c>
      <c r="G25" s="7"/>
      <c r="H25" s="6" t="n">
        <v>9144.61</v>
      </c>
      <c r="I25" s="7" t="n">
        <f aca="false">ROUND(H24+N(F25)-N(G25)-H25,2)</f>
        <v>0</v>
      </c>
      <c r="J25" s="4" t="s">
        <v>618</v>
      </c>
      <c r="K25" s="4" t="s">
        <v>647</v>
      </c>
      <c r="L25" s="4" t="s">
        <v>620</v>
      </c>
      <c r="M25" s="9" t="s">
        <v>440</v>
      </c>
      <c r="N25" s="4" t="s">
        <v>648</v>
      </c>
    </row>
    <row r="26" customFormat="false" ht="22.35" hidden="false" customHeight="false" outlineLevel="0" collapsed="false">
      <c r="A26" s="4" t="n">
        <v>20</v>
      </c>
      <c r="B26" s="5" t="n">
        <v>46133</v>
      </c>
      <c r="C26" s="4" t="s">
        <v>478</v>
      </c>
      <c r="D26" s="4" t="s">
        <v>649</v>
      </c>
      <c r="E26" s="4" t="s">
        <v>650</v>
      </c>
      <c r="F26" s="7"/>
      <c r="G26" s="6" t="n">
        <v>8538.91</v>
      </c>
      <c r="H26" s="6" t="n">
        <v>605.7</v>
      </c>
      <c r="I26" s="7" t="n">
        <f aca="false">ROUND(H25+N(F26)-N(G26)-H26,2)</f>
        <v>0</v>
      </c>
      <c r="J26" s="4" t="s">
        <v>576</v>
      </c>
      <c r="K26" s="4" t="s">
        <v>577</v>
      </c>
      <c r="L26" s="4" t="s">
        <v>578</v>
      </c>
      <c r="M26" s="8" t="s">
        <v>423</v>
      </c>
      <c r="N26" s="4" t="s">
        <v>651</v>
      </c>
    </row>
    <row r="27" customFormat="false" ht="22.35" hidden="false" customHeight="false" outlineLevel="0" collapsed="false">
      <c r="A27" s="4" t="n">
        <v>21</v>
      </c>
      <c r="B27" s="5" t="n">
        <v>46133</v>
      </c>
      <c r="C27" s="4" t="s">
        <v>478</v>
      </c>
      <c r="D27" s="4" t="s">
        <v>652</v>
      </c>
      <c r="E27" s="4" t="s">
        <v>653</v>
      </c>
      <c r="F27" s="7"/>
      <c r="G27" s="6" t="n">
        <v>386.39</v>
      </c>
      <c r="H27" s="6" t="n">
        <v>219.31</v>
      </c>
      <c r="I27" s="7" t="n">
        <f aca="false">ROUND(H26+N(F27)-N(G27)-H27,2)</f>
        <v>0</v>
      </c>
      <c r="J27" s="4" t="s">
        <v>428</v>
      </c>
      <c r="K27" s="4"/>
      <c r="L27" s="4" t="s">
        <v>152</v>
      </c>
      <c r="M27" s="12" t="s">
        <v>429</v>
      </c>
      <c r="N27" s="4" t="s">
        <v>654</v>
      </c>
    </row>
    <row r="28" customFormat="false" ht="22.35" hidden="false" customHeight="false" outlineLevel="0" collapsed="false">
      <c r="A28" s="4" t="n">
        <v>22</v>
      </c>
      <c r="B28" s="5" t="n">
        <v>46133</v>
      </c>
      <c r="C28" s="4" t="s">
        <v>478</v>
      </c>
      <c r="D28" s="4" t="s">
        <v>655</v>
      </c>
      <c r="E28" s="4" t="s">
        <v>656</v>
      </c>
      <c r="F28" s="7"/>
      <c r="G28" s="6" t="n">
        <v>0.86</v>
      </c>
      <c r="H28" s="6" t="n">
        <v>218.45</v>
      </c>
      <c r="I28" s="7" t="n">
        <f aca="false">ROUND(H27+N(F28)-N(G28)-H28,2)</f>
        <v>0</v>
      </c>
      <c r="J28" s="4" t="s">
        <v>657</v>
      </c>
      <c r="K28" s="4" t="s">
        <v>658</v>
      </c>
      <c r="L28" s="4" t="s">
        <v>152</v>
      </c>
      <c r="M28" s="8" t="s">
        <v>423</v>
      </c>
      <c r="N28" s="4" t="s">
        <v>659</v>
      </c>
    </row>
    <row r="29" customFormat="false" ht="22.35" hidden="false" customHeight="false" outlineLevel="0" collapsed="false">
      <c r="A29" s="4" t="n">
        <v>23</v>
      </c>
      <c r="B29" s="5" t="n">
        <v>46135</v>
      </c>
      <c r="C29" s="4" t="s">
        <v>478</v>
      </c>
      <c r="D29" s="4" t="s">
        <v>660</v>
      </c>
      <c r="E29" s="4" t="s">
        <v>59</v>
      </c>
      <c r="F29" s="6" t="n">
        <v>316.2</v>
      </c>
      <c r="G29" s="7"/>
      <c r="H29" s="6" t="n">
        <v>534.65</v>
      </c>
      <c r="I29" s="7" t="n">
        <f aca="false">ROUND(H28+N(F29)-N(G29)-H29,2)</f>
        <v>0</v>
      </c>
      <c r="J29" s="4" t="s">
        <v>631</v>
      </c>
      <c r="K29" s="4" t="s">
        <v>661</v>
      </c>
      <c r="L29" s="4" t="s">
        <v>597</v>
      </c>
      <c r="M29" s="10" t="s">
        <v>60</v>
      </c>
      <c r="N29" s="4" t="s">
        <v>662</v>
      </c>
    </row>
    <row r="30" customFormat="false" ht="22.35" hidden="false" customHeight="false" outlineLevel="0" collapsed="false">
      <c r="A30" s="4" t="n">
        <v>24</v>
      </c>
      <c r="B30" s="5" t="n">
        <v>46136</v>
      </c>
      <c r="C30" s="4" t="s">
        <v>478</v>
      </c>
      <c r="D30" s="4" t="s">
        <v>655</v>
      </c>
      <c r="E30" s="4" t="s">
        <v>656</v>
      </c>
      <c r="F30" s="6" t="n">
        <v>0.86</v>
      </c>
      <c r="G30" s="7"/>
      <c r="H30" s="6" t="n">
        <v>535.51</v>
      </c>
      <c r="I30" s="7" t="n">
        <f aca="false">ROUND(H29+N(F30)-N(G30)-H30,2)</f>
        <v>0</v>
      </c>
      <c r="J30" s="4" t="s">
        <v>663</v>
      </c>
      <c r="K30" s="4" t="s">
        <v>664</v>
      </c>
      <c r="L30" s="4" t="s">
        <v>152</v>
      </c>
      <c r="M30" s="8" t="s">
        <v>423</v>
      </c>
      <c r="N30" s="4" t="s">
        <v>665</v>
      </c>
    </row>
    <row r="31" customFormat="false" ht="32.8" hidden="false" customHeight="false" outlineLevel="0" collapsed="false">
      <c r="A31" s="4" t="n">
        <v>25</v>
      </c>
      <c r="B31" s="5" t="n">
        <v>46141</v>
      </c>
      <c r="C31" s="4" t="s">
        <v>478</v>
      </c>
      <c r="D31" s="4" t="s">
        <v>666</v>
      </c>
      <c r="E31" s="4" t="s">
        <v>47</v>
      </c>
      <c r="F31" s="6" t="n">
        <v>1134.3</v>
      </c>
      <c r="G31" s="7"/>
      <c r="H31" s="6" t="n">
        <v>1669.81</v>
      </c>
      <c r="I31" s="7" t="n">
        <f aca="false">ROUND(H30+N(F31)-N(G31)-H31,2)</f>
        <v>0</v>
      </c>
      <c r="J31" s="4" t="s">
        <v>631</v>
      </c>
      <c r="K31" s="4" t="s">
        <v>667</v>
      </c>
      <c r="L31" s="4" t="s">
        <v>597</v>
      </c>
      <c r="M31" s="9" t="s">
        <v>440</v>
      </c>
      <c r="N31" s="4" t="s">
        <v>668</v>
      </c>
    </row>
    <row r="32" customFormat="false" ht="22.35" hidden="false" customHeight="false" outlineLevel="0" collapsed="false">
      <c r="A32" s="4" t="n">
        <v>26</v>
      </c>
      <c r="B32" s="5" t="n">
        <v>46143</v>
      </c>
      <c r="C32" s="4" t="s">
        <v>500</v>
      </c>
      <c r="D32" s="4" t="s">
        <v>669</v>
      </c>
      <c r="E32" s="4" t="s">
        <v>670</v>
      </c>
      <c r="F32" s="7"/>
      <c r="G32" s="6" t="n">
        <v>265.77</v>
      </c>
      <c r="H32" s="6" t="n">
        <v>1404.04</v>
      </c>
      <c r="I32" s="7" t="n">
        <f aca="false">ROUND(H31+N(F32)-N(G32)-H32,2)</f>
        <v>0</v>
      </c>
      <c r="J32" s="4" t="s">
        <v>428</v>
      </c>
      <c r="K32" s="4"/>
      <c r="L32" s="4" t="s">
        <v>152</v>
      </c>
      <c r="M32" s="12" t="s">
        <v>429</v>
      </c>
      <c r="N32" s="4" t="s">
        <v>671</v>
      </c>
    </row>
    <row r="33" customFormat="false" ht="22.35" hidden="false" customHeight="false" outlineLevel="0" collapsed="false">
      <c r="A33" s="4" t="n">
        <v>27</v>
      </c>
      <c r="B33" s="5" t="n">
        <v>46146</v>
      </c>
      <c r="C33" s="4" t="s">
        <v>500</v>
      </c>
      <c r="D33" s="4" t="s">
        <v>634</v>
      </c>
      <c r="E33" s="4" t="s">
        <v>672</v>
      </c>
      <c r="F33" s="7"/>
      <c r="G33" s="6" t="n">
        <v>18.68</v>
      </c>
      <c r="H33" s="6" t="n">
        <v>1385.36</v>
      </c>
      <c r="I33" s="7" t="n">
        <f aca="false">ROUND(H32+N(F33)-N(G33)-H33,2)</f>
        <v>0</v>
      </c>
      <c r="J33" s="4" t="s">
        <v>428</v>
      </c>
      <c r="K33" s="4"/>
      <c r="L33" s="4" t="s">
        <v>152</v>
      </c>
      <c r="M33" s="12" t="s">
        <v>429</v>
      </c>
      <c r="N33" s="4" t="s">
        <v>636</v>
      </c>
    </row>
    <row r="34" customFormat="false" ht="22.35" hidden="false" customHeight="false" outlineLevel="0" collapsed="false">
      <c r="A34" s="4" t="n">
        <v>28</v>
      </c>
      <c r="B34" s="5" t="n">
        <v>46150</v>
      </c>
      <c r="C34" s="4" t="s">
        <v>500</v>
      </c>
      <c r="D34" s="4" t="s">
        <v>673</v>
      </c>
      <c r="E34" s="4" t="s">
        <v>674</v>
      </c>
      <c r="F34" s="7"/>
      <c r="G34" s="6" t="n">
        <v>24.84</v>
      </c>
      <c r="H34" s="6" t="n">
        <v>1360.52</v>
      </c>
      <c r="I34" s="7" t="n">
        <f aca="false">ROUND(H33+N(F34)-N(G34)-H34,2)</f>
        <v>0</v>
      </c>
      <c r="J34" s="4" t="s">
        <v>428</v>
      </c>
      <c r="K34" s="4"/>
      <c r="L34" s="4" t="s">
        <v>152</v>
      </c>
      <c r="M34" s="12" t="s">
        <v>429</v>
      </c>
      <c r="N34" s="4" t="s">
        <v>444</v>
      </c>
    </row>
    <row r="35" customFormat="false" ht="22.35" hidden="false" customHeight="false" outlineLevel="0" collapsed="false">
      <c r="A35" s="4" t="n">
        <v>29</v>
      </c>
      <c r="B35" s="5" t="n">
        <v>46153</v>
      </c>
      <c r="C35" s="4" t="s">
        <v>500</v>
      </c>
      <c r="D35" s="4" t="s">
        <v>675</v>
      </c>
      <c r="E35" s="4" t="s">
        <v>184</v>
      </c>
      <c r="F35" s="7"/>
      <c r="G35" s="6" t="n">
        <v>331.32</v>
      </c>
      <c r="H35" s="6" t="n">
        <v>1029.2</v>
      </c>
      <c r="I35" s="7" t="n">
        <f aca="false">ROUND(H34+N(F35)-N(G35)-H35,2)</f>
        <v>0</v>
      </c>
      <c r="J35" s="4" t="s">
        <v>438</v>
      </c>
      <c r="K35" s="4" t="s">
        <v>676</v>
      </c>
      <c r="L35" s="4" t="s">
        <v>183</v>
      </c>
      <c r="M35" s="9" t="s">
        <v>440</v>
      </c>
      <c r="N35" s="4" t="s">
        <v>677</v>
      </c>
    </row>
    <row r="36" customFormat="false" ht="22.35" hidden="false" customHeight="false" outlineLevel="0" collapsed="false">
      <c r="A36" s="4" t="n">
        <v>30</v>
      </c>
      <c r="B36" s="5" t="n">
        <v>46153</v>
      </c>
      <c r="C36" s="4" t="s">
        <v>500</v>
      </c>
      <c r="D36" s="4" t="s">
        <v>678</v>
      </c>
      <c r="E36" s="4" t="s">
        <v>679</v>
      </c>
      <c r="F36" s="7"/>
      <c r="G36" s="6" t="n">
        <v>20.2</v>
      </c>
      <c r="H36" s="6" t="n">
        <v>1009</v>
      </c>
      <c r="I36" s="7" t="n">
        <f aca="false">ROUND(H35+N(F36)-N(G36)-H36,2)</f>
        <v>0</v>
      </c>
      <c r="J36" s="4" t="s">
        <v>428</v>
      </c>
      <c r="K36" s="4"/>
      <c r="L36" s="4" t="s">
        <v>152</v>
      </c>
      <c r="M36" s="12" t="s">
        <v>429</v>
      </c>
      <c r="N36" s="4" t="s">
        <v>627</v>
      </c>
    </row>
    <row r="37" customFormat="false" ht="22.35" hidden="false" customHeight="false" outlineLevel="0" collapsed="false">
      <c r="A37" s="4" t="n">
        <v>31</v>
      </c>
      <c r="B37" s="5" t="n">
        <v>46155</v>
      </c>
      <c r="C37" s="4" t="s">
        <v>500</v>
      </c>
      <c r="D37" s="4" t="s">
        <v>680</v>
      </c>
      <c r="E37" s="4" t="s">
        <v>681</v>
      </c>
      <c r="F37" s="7"/>
      <c r="G37" s="6" t="n">
        <v>445.12</v>
      </c>
      <c r="H37" s="6" t="n">
        <v>563.88</v>
      </c>
      <c r="I37" s="7" t="n">
        <f aca="false">ROUND(H36+N(F37)-N(G37)-H37,2)</f>
        <v>0</v>
      </c>
      <c r="J37" s="4" t="s">
        <v>613</v>
      </c>
      <c r="K37" s="4" t="s">
        <v>682</v>
      </c>
      <c r="L37" s="4" t="s">
        <v>615</v>
      </c>
      <c r="M37" s="8" t="s">
        <v>423</v>
      </c>
      <c r="N37" s="4" t="s">
        <v>616</v>
      </c>
    </row>
    <row r="38" customFormat="false" ht="22.35" hidden="false" customHeight="false" outlineLevel="0" collapsed="false">
      <c r="A38" s="4" t="n">
        <v>32</v>
      </c>
      <c r="B38" s="5" t="n">
        <v>46155</v>
      </c>
      <c r="C38" s="4" t="s">
        <v>500</v>
      </c>
      <c r="D38" s="4" t="s">
        <v>673</v>
      </c>
      <c r="E38" s="4" t="s">
        <v>683</v>
      </c>
      <c r="F38" s="7"/>
      <c r="G38" s="6" t="n">
        <v>15.05</v>
      </c>
      <c r="H38" s="6" t="n">
        <v>548.83</v>
      </c>
      <c r="I38" s="7" t="n">
        <f aca="false">ROUND(H37+N(F38)-N(G38)-H38,2)</f>
        <v>0</v>
      </c>
      <c r="J38" s="4" t="s">
        <v>428</v>
      </c>
      <c r="K38" s="4"/>
      <c r="L38" s="4" t="s">
        <v>152</v>
      </c>
      <c r="M38" s="12" t="s">
        <v>429</v>
      </c>
      <c r="N38" s="4" t="s">
        <v>444</v>
      </c>
    </row>
    <row r="39" customFormat="false" ht="22.35" hidden="false" customHeight="false" outlineLevel="0" collapsed="false">
      <c r="A39" s="4" t="n">
        <v>33</v>
      </c>
      <c r="B39" s="5" t="n">
        <v>46157</v>
      </c>
      <c r="C39" s="4" t="s">
        <v>500</v>
      </c>
      <c r="D39" s="4" t="s">
        <v>684</v>
      </c>
      <c r="E39" s="4" t="s">
        <v>685</v>
      </c>
      <c r="F39" s="7"/>
      <c r="G39" s="6" t="n">
        <v>132.77</v>
      </c>
      <c r="H39" s="6" t="n">
        <v>416.06</v>
      </c>
      <c r="I39" s="7" t="n">
        <f aca="false">ROUND(H38+N(F39)-N(G39)-H39,2)</f>
        <v>0</v>
      </c>
      <c r="J39" s="4" t="s">
        <v>428</v>
      </c>
      <c r="K39" s="4"/>
      <c r="L39" s="4" t="s">
        <v>495</v>
      </c>
      <c r="M39" s="12" t="s">
        <v>429</v>
      </c>
      <c r="N39" s="4" t="s">
        <v>496</v>
      </c>
    </row>
    <row r="40" customFormat="false" ht="22.35" hidden="false" customHeight="false" outlineLevel="0" collapsed="false">
      <c r="A40" s="4" t="n">
        <v>34</v>
      </c>
      <c r="B40" s="5" t="n">
        <v>46159</v>
      </c>
      <c r="C40" s="4" t="s">
        <v>500</v>
      </c>
      <c r="D40" s="4" t="s">
        <v>686</v>
      </c>
      <c r="E40" s="4" t="s">
        <v>687</v>
      </c>
      <c r="F40" s="7"/>
      <c r="G40" s="6" t="n">
        <v>42.76</v>
      </c>
      <c r="H40" s="6" t="n">
        <v>373.3</v>
      </c>
      <c r="I40" s="7" t="n">
        <f aca="false">ROUND(H39+N(F40)-N(G40)-H40,2)</f>
        <v>0</v>
      </c>
      <c r="J40" s="4" t="s">
        <v>428</v>
      </c>
      <c r="K40" s="4"/>
      <c r="L40" s="4" t="s">
        <v>152</v>
      </c>
      <c r="M40" s="12" t="s">
        <v>429</v>
      </c>
      <c r="N40" s="4" t="s">
        <v>601</v>
      </c>
    </row>
    <row r="41" customFormat="false" ht="22.35" hidden="false" customHeight="false" outlineLevel="0" collapsed="false">
      <c r="A41" s="4" t="n">
        <v>35</v>
      </c>
      <c r="B41" s="5" t="n">
        <v>46160</v>
      </c>
      <c r="C41" s="4" t="s">
        <v>500</v>
      </c>
      <c r="D41" s="4" t="s">
        <v>688</v>
      </c>
      <c r="E41" s="4" t="s">
        <v>689</v>
      </c>
      <c r="F41" s="7"/>
      <c r="G41" s="6" t="n">
        <v>2.54</v>
      </c>
      <c r="H41" s="6" t="n">
        <v>370.76</v>
      </c>
      <c r="I41" s="7" t="n">
        <f aca="false">ROUND(H40+N(F41)-N(G41)-H41,2)</f>
        <v>0</v>
      </c>
      <c r="J41" s="4" t="s">
        <v>428</v>
      </c>
      <c r="K41" s="4"/>
      <c r="L41" s="4" t="s">
        <v>495</v>
      </c>
      <c r="M41" s="12" t="s">
        <v>429</v>
      </c>
      <c r="N41" s="4" t="s">
        <v>496</v>
      </c>
    </row>
    <row r="42" customFormat="false" ht="22.35" hidden="false" customHeight="false" outlineLevel="0" collapsed="false">
      <c r="A42" s="4" t="n">
        <v>36</v>
      </c>
      <c r="B42" s="5" t="n">
        <v>46161</v>
      </c>
      <c r="C42" s="4" t="s">
        <v>500</v>
      </c>
      <c r="D42" s="4" t="s">
        <v>690</v>
      </c>
      <c r="E42" s="4" t="s">
        <v>691</v>
      </c>
      <c r="F42" s="7"/>
      <c r="G42" s="6" t="n">
        <v>124.72</v>
      </c>
      <c r="H42" s="6" t="n">
        <v>246.04</v>
      </c>
      <c r="I42" s="7" t="n">
        <f aca="false">ROUND(H41+N(F42)-N(G42)-H42,2)</f>
        <v>0</v>
      </c>
      <c r="J42" s="4" t="s">
        <v>428</v>
      </c>
      <c r="K42" s="4"/>
      <c r="L42" s="4" t="s">
        <v>152</v>
      </c>
      <c r="M42" s="12" t="s">
        <v>429</v>
      </c>
      <c r="N42" s="4" t="s">
        <v>692</v>
      </c>
    </row>
    <row r="43" customFormat="false" ht="22.35" hidden="false" customHeight="false" outlineLevel="0" collapsed="false">
      <c r="A43" s="4" t="n">
        <v>37</v>
      </c>
      <c r="B43" s="5" t="n">
        <v>46163</v>
      </c>
      <c r="C43" s="4" t="s">
        <v>500</v>
      </c>
      <c r="D43" s="4" t="s">
        <v>693</v>
      </c>
      <c r="E43" s="4" t="s">
        <v>694</v>
      </c>
      <c r="F43" s="7"/>
      <c r="G43" s="6" t="n">
        <v>43.78</v>
      </c>
      <c r="H43" s="6" t="n">
        <v>202.26</v>
      </c>
      <c r="I43" s="7" t="n">
        <f aca="false">ROUND(H42+N(F43)-N(G43)-H43,2)</f>
        <v>0</v>
      </c>
      <c r="J43" s="4" t="s">
        <v>428</v>
      </c>
      <c r="K43" s="4"/>
      <c r="L43" s="4" t="s">
        <v>152</v>
      </c>
      <c r="M43" s="12" t="s">
        <v>429</v>
      </c>
      <c r="N43" s="4" t="s">
        <v>499</v>
      </c>
    </row>
    <row r="44" customFormat="false" ht="22.35" hidden="false" customHeight="false" outlineLevel="0" collapsed="false">
      <c r="A44" s="4" t="n">
        <v>38</v>
      </c>
      <c r="B44" s="5" t="n">
        <v>46167</v>
      </c>
      <c r="C44" s="4" t="s">
        <v>500</v>
      </c>
      <c r="D44" s="4" t="s">
        <v>695</v>
      </c>
      <c r="E44" s="4" t="s">
        <v>696</v>
      </c>
      <c r="F44" s="7"/>
      <c r="G44" s="6" t="n">
        <v>7.33</v>
      </c>
      <c r="H44" s="6" t="n">
        <v>194.93</v>
      </c>
      <c r="I44" s="7" t="n">
        <f aca="false">ROUND(H43+N(F44)-N(G44)-H44,2)</f>
        <v>0</v>
      </c>
      <c r="J44" s="4" t="s">
        <v>428</v>
      </c>
      <c r="K44" s="4"/>
      <c r="L44" s="4" t="s">
        <v>495</v>
      </c>
      <c r="M44" s="12" t="s">
        <v>429</v>
      </c>
      <c r="N44" s="4" t="s">
        <v>496</v>
      </c>
    </row>
    <row r="45" customFormat="false" ht="22.35" hidden="false" customHeight="false" outlineLevel="0" collapsed="false">
      <c r="A45" s="4" t="n">
        <v>39</v>
      </c>
      <c r="B45" s="5" t="n">
        <v>46168</v>
      </c>
      <c r="C45" s="4" t="s">
        <v>500</v>
      </c>
      <c r="D45" s="4" t="s">
        <v>625</v>
      </c>
      <c r="E45" s="4" t="s">
        <v>697</v>
      </c>
      <c r="F45" s="7"/>
      <c r="G45" s="6" t="n">
        <v>20.29</v>
      </c>
      <c r="H45" s="6" t="n">
        <v>174.64</v>
      </c>
      <c r="I45" s="7" t="n">
        <f aca="false">ROUND(H44+N(F45)-N(G45)-H45,2)</f>
        <v>0</v>
      </c>
      <c r="J45" s="4" t="s">
        <v>428</v>
      </c>
      <c r="K45" s="4"/>
      <c r="L45" s="4" t="s">
        <v>152</v>
      </c>
      <c r="M45" s="12" t="s">
        <v>429</v>
      </c>
      <c r="N45" s="4" t="s">
        <v>627</v>
      </c>
    </row>
    <row r="46" customFormat="false" ht="22.35" hidden="false" customHeight="false" outlineLevel="0" collapsed="false">
      <c r="A46" s="4" t="n">
        <v>40</v>
      </c>
      <c r="B46" s="5" t="n">
        <v>46169</v>
      </c>
      <c r="C46" s="4" t="s">
        <v>500</v>
      </c>
      <c r="D46" s="4" t="s">
        <v>625</v>
      </c>
      <c r="E46" s="4" t="s">
        <v>698</v>
      </c>
      <c r="F46" s="7"/>
      <c r="G46" s="6" t="n">
        <v>20.26</v>
      </c>
      <c r="H46" s="6" t="n">
        <v>154.38</v>
      </c>
      <c r="I46" s="7" t="n">
        <f aca="false">ROUND(H45+N(F46)-N(G46)-H46,2)</f>
        <v>0</v>
      </c>
      <c r="J46" s="4" t="s">
        <v>428</v>
      </c>
      <c r="K46" s="4"/>
      <c r="L46" s="4" t="s">
        <v>152</v>
      </c>
      <c r="M46" s="12" t="s">
        <v>429</v>
      </c>
      <c r="N46" s="4" t="s">
        <v>627</v>
      </c>
    </row>
    <row r="47" customFormat="false" ht="22.35" hidden="false" customHeight="false" outlineLevel="0" collapsed="false">
      <c r="A47" s="4" t="n">
        <v>41</v>
      </c>
      <c r="B47" s="5" t="n">
        <v>46175</v>
      </c>
      <c r="C47" s="4" t="s">
        <v>504</v>
      </c>
      <c r="D47" s="4" t="s">
        <v>699</v>
      </c>
      <c r="E47" s="4" t="s">
        <v>700</v>
      </c>
      <c r="F47" s="7"/>
      <c r="G47" s="6" t="n">
        <v>7.88</v>
      </c>
      <c r="H47" s="6" t="n">
        <v>146.5</v>
      </c>
      <c r="I47" s="7" t="n">
        <f aca="false">ROUND(H46+N(F47)-N(G47)-H47,2)</f>
        <v>0</v>
      </c>
      <c r="J47" s="4" t="s">
        <v>428</v>
      </c>
      <c r="K47" s="4"/>
      <c r="L47" s="4" t="s">
        <v>495</v>
      </c>
      <c r="M47" s="12" t="s">
        <v>429</v>
      </c>
      <c r="N47" s="4" t="s">
        <v>496</v>
      </c>
    </row>
    <row r="48" customFormat="false" ht="32.8" hidden="false" customHeight="false" outlineLevel="0" collapsed="false">
      <c r="A48" s="4" t="n">
        <v>42</v>
      </c>
      <c r="B48" s="5" t="n">
        <v>46176</v>
      </c>
      <c r="C48" s="4" t="s">
        <v>504</v>
      </c>
      <c r="D48" s="4" t="s">
        <v>701</v>
      </c>
      <c r="E48" s="4" t="s">
        <v>52</v>
      </c>
      <c r="F48" s="6" t="n">
        <v>528.17</v>
      </c>
      <c r="G48" s="7"/>
      <c r="H48" s="6" t="n">
        <v>674.67</v>
      </c>
      <c r="I48" s="7" t="n">
        <f aca="false">ROUND(H47+N(F48)-N(G48)-H48,2)</f>
        <v>0</v>
      </c>
      <c r="J48" s="4" t="s">
        <v>631</v>
      </c>
      <c r="K48" s="4" t="s">
        <v>702</v>
      </c>
      <c r="L48" s="4" t="s">
        <v>597</v>
      </c>
      <c r="M48" s="9" t="s">
        <v>440</v>
      </c>
      <c r="N48" s="4" t="s">
        <v>668</v>
      </c>
    </row>
    <row r="49" customFormat="false" ht="22.35" hidden="false" customHeight="false" outlineLevel="0" collapsed="false">
      <c r="A49" s="4" t="n">
        <v>43</v>
      </c>
      <c r="B49" s="5" t="n">
        <v>46176</v>
      </c>
      <c r="C49" s="4" t="s">
        <v>504</v>
      </c>
      <c r="D49" s="4" t="s">
        <v>703</v>
      </c>
      <c r="E49" s="4" t="s">
        <v>704</v>
      </c>
      <c r="F49" s="7"/>
      <c r="G49" s="6" t="n">
        <v>540.92</v>
      </c>
      <c r="H49" s="6" t="n">
        <v>133.75</v>
      </c>
      <c r="I49" s="7" t="n">
        <f aca="false">ROUND(H48+N(F49)-N(G49)-H49,2)</f>
        <v>0</v>
      </c>
      <c r="J49" s="4" t="s">
        <v>433</v>
      </c>
      <c r="K49" s="4" t="s">
        <v>705</v>
      </c>
      <c r="L49" s="4" t="s">
        <v>561</v>
      </c>
      <c r="M49" s="8" t="s">
        <v>423</v>
      </c>
      <c r="N49" s="4" t="s">
        <v>706</v>
      </c>
    </row>
    <row r="50" customFormat="false" ht="22.35" hidden="false" customHeight="false" outlineLevel="0" collapsed="false">
      <c r="A50" s="4" t="n">
        <v>44</v>
      </c>
      <c r="B50" s="5" t="n">
        <v>46177</v>
      </c>
      <c r="C50" s="4" t="s">
        <v>504</v>
      </c>
      <c r="D50" s="4" t="s">
        <v>634</v>
      </c>
      <c r="E50" s="4" t="s">
        <v>707</v>
      </c>
      <c r="F50" s="7"/>
      <c r="G50" s="6" t="n">
        <v>18.87</v>
      </c>
      <c r="H50" s="6" t="n">
        <v>114.88</v>
      </c>
      <c r="I50" s="7" t="n">
        <f aca="false">ROUND(H49+N(F50)-N(G50)-H50,2)</f>
        <v>0</v>
      </c>
      <c r="J50" s="4" t="s">
        <v>428</v>
      </c>
      <c r="K50" s="4"/>
      <c r="L50" s="4" t="s">
        <v>152</v>
      </c>
      <c r="M50" s="12" t="s">
        <v>429</v>
      </c>
      <c r="N50" s="4" t="s">
        <v>636</v>
      </c>
    </row>
    <row r="51" customFormat="false" ht="22.35" hidden="false" customHeight="false" outlineLevel="0" collapsed="false">
      <c r="A51" s="4" t="n">
        <v>45</v>
      </c>
      <c r="B51" s="5" t="n">
        <v>46184</v>
      </c>
      <c r="C51" s="4" t="s">
        <v>504</v>
      </c>
      <c r="D51" s="4" t="s">
        <v>708</v>
      </c>
      <c r="E51" s="4" t="s">
        <v>709</v>
      </c>
      <c r="F51" s="7"/>
      <c r="G51" s="6" t="n">
        <v>20.27</v>
      </c>
      <c r="H51" s="6" t="n">
        <v>94.61</v>
      </c>
      <c r="I51" s="7" t="n">
        <f aca="false">ROUND(H50+N(F51)-N(G51)-H51,2)</f>
        <v>0</v>
      </c>
      <c r="J51" s="4" t="s">
        <v>428</v>
      </c>
      <c r="K51" s="4"/>
      <c r="L51" s="4" t="s">
        <v>152</v>
      </c>
      <c r="M51" s="12" t="s">
        <v>429</v>
      </c>
      <c r="N51" s="4" t="s">
        <v>627</v>
      </c>
    </row>
    <row r="52" customFormat="false" ht="22.35" hidden="false" customHeight="false" outlineLevel="0" collapsed="false">
      <c r="A52" s="4" t="n">
        <v>46</v>
      </c>
      <c r="B52" s="5" t="n">
        <v>46186</v>
      </c>
      <c r="C52" s="4" t="s">
        <v>504</v>
      </c>
      <c r="D52" s="4" t="s">
        <v>673</v>
      </c>
      <c r="E52" s="4" t="s">
        <v>710</v>
      </c>
      <c r="F52" s="7"/>
      <c r="G52" s="6" t="n">
        <v>25.18</v>
      </c>
      <c r="H52" s="6" t="n">
        <v>69.43</v>
      </c>
      <c r="I52" s="7" t="n">
        <f aca="false">ROUND(H51+N(F52)-N(G52)-H52,2)</f>
        <v>0</v>
      </c>
      <c r="J52" s="4" t="s">
        <v>428</v>
      </c>
      <c r="K52" s="4"/>
      <c r="L52" s="4" t="s">
        <v>152</v>
      </c>
      <c r="M52" s="12" t="s">
        <v>429</v>
      </c>
      <c r="N52" s="4" t="s">
        <v>444</v>
      </c>
    </row>
    <row r="53" customFormat="false" ht="22.35" hidden="false" customHeight="false" outlineLevel="0" collapsed="false">
      <c r="A53" s="4" t="n">
        <v>47</v>
      </c>
      <c r="B53" s="5" t="n">
        <v>46190</v>
      </c>
      <c r="C53" s="4" t="s">
        <v>504</v>
      </c>
      <c r="D53" s="4" t="s">
        <v>711</v>
      </c>
      <c r="E53" s="4" t="s">
        <v>712</v>
      </c>
      <c r="F53" s="7"/>
      <c r="G53" s="6" t="n">
        <v>14.71</v>
      </c>
      <c r="H53" s="6" t="n">
        <v>54.72</v>
      </c>
      <c r="I53" s="7" t="n">
        <f aca="false">ROUND(H52+N(F53)-N(G53)-H53,2)</f>
        <v>0</v>
      </c>
      <c r="J53" s="4" t="s">
        <v>428</v>
      </c>
      <c r="K53" s="4"/>
      <c r="L53" s="4" t="s">
        <v>152</v>
      </c>
      <c r="M53" s="12" t="s">
        <v>429</v>
      </c>
      <c r="N53" s="4" t="s">
        <v>627</v>
      </c>
    </row>
    <row r="54" customFormat="false" ht="22.35" hidden="false" customHeight="false" outlineLevel="0" collapsed="false">
      <c r="A54" s="4" t="n">
        <v>48</v>
      </c>
      <c r="B54" s="5" t="n">
        <v>46190</v>
      </c>
      <c r="C54" s="4" t="s">
        <v>504</v>
      </c>
      <c r="D54" s="4" t="s">
        <v>713</v>
      </c>
      <c r="E54" s="4" t="s">
        <v>714</v>
      </c>
      <c r="F54" s="7"/>
      <c r="G54" s="6" t="n">
        <v>42.86</v>
      </c>
      <c r="H54" s="6" t="n">
        <v>11.86</v>
      </c>
      <c r="I54" s="7" t="n">
        <f aca="false">ROUND(H53+N(F54)-N(G54)-H54,2)</f>
        <v>0</v>
      </c>
      <c r="J54" s="4" t="s">
        <v>428</v>
      </c>
      <c r="K54" s="4"/>
      <c r="L54" s="4" t="s">
        <v>152</v>
      </c>
      <c r="M54" s="12" t="s">
        <v>429</v>
      </c>
      <c r="N54" s="4" t="s">
        <v>601</v>
      </c>
    </row>
    <row r="55" customFormat="false" ht="22.35" hidden="false" customHeight="false" outlineLevel="0" collapsed="false">
      <c r="A55" s="4" t="n">
        <v>49</v>
      </c>
      <c r="B55" s="5" t="n">
        <v>46192</v>
      </c>
      <c r="C55" s="4" t="s">
        <v>504</v>
      </c>
      <c r="D55" s="4" t="s">
        <v>715</v>
      </c>
      <c r="E55" s="4" t="s">
        <v>716</v>
      </c>
      <c r="F55" s="7"/>
      <c r="G55" s="6" t="n">
        <v>7.67</v>
      </c>
      <c r="H55" s="6" t="n">
        <v>4.19</v>
      </c>
      <c r="I55" s="7" t="n">
        <f aca="false">ROUND(H54+N(F55)-N(G55)-H55,2)</f>
        <v>0</v>
      </c>
      <c r="J55" s="4" t="s">
        <v>428</v>
      </c>
      <c r="K55" s="4"/>
      <c r="L55" s="4" t="s">
        <v>495</v>
      </c>
      <c r="M55" s="12" t="s">
        <v>429</v>
      </c>
      <c r="N55" s="4" t="s">
        <v>496</v>
      </c>
    </row>
    <row r="56" customFormat="false" ht="22.35" hidden="false" customHeight="false" outlineLevel="0" collapsed="false">
      <c r="A56" s="4" t="n">
        <v>50</v>
      </c>
      <c r="B56" s="5" t="n">
        <v>46203</v>
      </c>
      <c r="C56" s="4" t="s">
        <v>504</v>
      </c>
      <c r="D56" s="4" t="s">
        <v>717</v>
      </c>
      <c r="E56" s="4" t="s">
        <v>64</v>
      </c>
      <c r="F56" s="6" t="n">
        <v>519.68</v>
      </c>
      <c r="G56" s="7"/>
      <c r="H56" s="6" t="n">
        <v>523.87</v>
      </c>
      <c r="I56" s="7" t="n">
        <f aca="false">ROUND(H55+N(F56)-N(G56)-H56,2)</f>
        <v>0</v>
      </c>
      <c r="J56" s="4" t="s">
        <v>631</v>
      </c>
      <c r="K56" s="4" t="s">
        <v>718</v>
      </c>
      <c r="L56" s="4" t="s">
        <v>597</v>
      </c>
      <c r="M56" s="10" t="s">
        <v>60</v>
      </c>
      <c r="N56" s="4" t="s">
        <v>719</v>
      </c>
    </row>
    <row r="57" customFormat="false" ht="22.35" hidden="false" customHeight="false" outlineLevel="0" collapsed="false">
      <c r="A57" s="4" t="n">
        <v>51</v>
      </c>
      <c r="B57" s="5" t="n">
        <v>46203</v>
      </c>
      <c r="C57" s="4" t="s">
        <v>504</v>
      </c>
      <c r="D57" s="4" t="s">
        <v>720</v>
      </c>
      <c r="E57" s="4" t="s">
        <v>721</v>
      </c>
      <c r="F57" s="7"/>
      <c r="G57" s="6" t="n">
        <v>9.7</v>
      </c>
      <c r="H57" s="6" t="n">
        <v>514.17</v>
      </c>
      <c r="I57" s="7" t="n">
        <f aca="false">ROUND(H56+N(F57)-N(G57)-H57,2)</f>
        <v>0</v>
      </c>
      <c r="J57" s="4" t="s">
        <v>428</v>
      </c>
      <c r="K57" s="4"/>
      <c r="L57" s="4" t="s">
        <v>495</v>
      </c>
      <c r="M57" s="12" t="s">
        <v>429</v>
      </c>
      <c r="N57" s="4" t="s">
        <v>496</v>
      </c>
    </row>
    <row r="58" customFormat="false" ht="22.35" hidden="false" customHeight="false" outlineLevel="0" collapsed="false">
      <c r="A58" s="4" t="n">
        <v>52</v>
      </c>
      <c r="B58" s="5" t="n">
        <v>46203</v>
      </c>
      <c r="C58" s="4" t="s">
        <v>504</v>
      </c>
      <c r="D58" s="4" t="s">
        <v>722</v>
      </c>
      <c r="E58" s="4" t="s">
        <v>723</v>
      </c>
      <c r="F58" s="7"/>
      <c r="G58" s="6" t="n">
        <v>33.96</v>
      </c>
      <c r="H58" s="6" t="n">
        <v>480.21</v>
      </c>
      <c r="I58" s="7" t="n">
        <f aca="false">ROUND(H57+N(F58)-N(G58)-H58,2)</f>
        <v>0</v>
      </c>
      <c r="J58" s="4" t="s">
        <v>428</v>
      </c>
      <c r="K58" s="4"/>
      <c r="L58" s="4" t="s">
        <v>495</v>
      </c>
      <c r="M58" s="12" t="s">
        <v>429</v>
      </c>
      <c r="N58" s="4" t="s">
        <v>496</v>
      </c>
    </row>
    <row r="59" customFormat="false" ht="22.35" hidden="false" customHeight="false" outlineLevel="0" collapsed="false">
      <c r="A59" s="4" t="n">
        <v>53</v>
      </c>
      <c r="B59" s="5" t="n">
        <v>46203</v>
      </c>
      <c r="C59" s="4" t="s">
        <v>504</v>
      </c>
      <c r="D59" s="4" t="s">
        <v>693</v>
      </c>
      <c r="E59" s="4" t="s">
        <v>724</v>
      </c>
      <c r="F59" s="7"/>
      <c r="G59" s="6" t="n">
        <v>44.62</v>
      </c>
      <c r="H59" s="6" t="n">
        <v>435.59</v>
      </c>
      <c r="I59" s="7" t="n">
        <f aca="false">ROUND(H58+N(F59)-N(G59)-H59,2)</f>
        <v>0</v>
      </c>
      <c r="J59" s="4" t="s">
        <v>428</v>
      </c>
      <c r="K59" s="4"/>
      <c r="L59" s="4" t="s">
        <v>152</v>
      </c>
      <c r="M59" s="12" t="s">
        <v>429</v>
      </c>
      <c r="N59" s="4" t="s">
        <v>499</v>
      </c>
    </row>
    <row r="60" customFormat="false" ht="22.35" hidden="false" customHeight="false" outlineLevel="0" collapsed="false">
      <c r="A60" s="4" t="n">
        <v>54</v>
      </c>
      <c r="B60" s="5" t="n">
        <v>46207</v>
      </c>
      <c r="C60" s="4" t="s">
        <v>518</v>
      </c>
      <c r="D60" s="4" t="s">
        <v>634</v>
      </c>
      <c r="E60" s="4" t="s">
        <v>725</v>
      </c>
      <c r="F60" s="7"/>
      <c r="G60" s="6" t="n">
        <v>19.15</v>
      </c>
      <c r="H60" s="6" t="n">
        <v>416.44</v>
      </c>
      <c r="I60" s="7" t="n">
        <f aca="false">ROUND(H59+N(F60)-N(G60)-H60,2)</f>
        <v>0</v>
      </c>
      <c r="J60" s="4" t="s">
        <v>428</v>
      </c>
      <c r="K60" s="4"/>
      <c r="L60" s="4" t="s">
        <v>152</v>
      </c>
      <c r="M60" s="12" t="s">
        <v>429</v>
      </c>
      <c r="N60" s="4" t="s">
        <v>636</v>
      </c>
    </row>
    <row r="61" customFormat="false" ht="22.35" hidden="false" customHeight="false" outlineLevel="0" collapsed="false">
      <c r="A61" s="4" t="n">
        <v>55</v>
      </c>
      <c r="B61" s="5" t="n">
        <v>46209</v>
      </c>
      <c r="C61" s="4" t="s">
        <v>518</v>
      </c>
      <c r="D61" s="4" t="s">
        <v>726</v>
      </c>
      <c r="E61" s="4" t="s">
        <v>727</v>
      </c>
      <c r="F61" s="7"/>
      <c r="G61" s="6" t="n">
        <v>32.85</v>
      </c>
      <c r="H61" s="6" t="n">
        <v>383.59</v>
      </c>
      <c r="I61" s="7" t="n">
        <f aca="false">ROUND(H60+N(F61)-N(G61)-H61,2)</f>
        <v>0</v>
      </c>
      <c r="J61" s="4" t="s">
        <v>428</v>
      </c>
      <c r="K61" s="4"/>
      <c r="L61" s="4" t="s">
        <v>495</v>
      </c>
      <c r="M61" s="12" t="s">
        <v>429</v>
      </c>
      <c r="N61" s="4" t="s">
        <v>496</v>
      </c>
    </row>
    <row r="62" customFormat="false" ht="22.35" hidden="false" customHeight="false" outlineLevel="0" collapsed="false">
      <c r="A62" s="4" t="n">
        <v>56</v>
      </c>
      <c r="B62" s="5" t="n">
        <v>46214</v>
      </c>
      <c r="C62" s="4" t="s">
        <v>518</v>
      </c>
      <c r="D62" s="4" t="s">
        <v>708</v>
      </c>
      <c r="E62" s="4" t="s">
        <v>728</v>
      </c>
      <c r="F62" s="7"/>
      <c r="G62" s="6" t="n">
        <v>20.44</v>
      </c>
      <c r="H62" s="6" t="n">
        <v>363.15</v>
      </c>
      <c r="I62" s="7" t="n">
        <f aca="false">ROUND(H61+N(F62)-N(G62)-H62,2)</f>
        <v>0</v>
      </c>
      <c r="J62" s="4" t="s">
        <v>428</v>
      </c>
      <c r="K62" s="4"/>
      <c r="L62" s="4" t="s">
        <v>152</v>
      </c>
      <c r="M62" s="12" t="s">
        <v>429</v>
      </c>
      <c r="N62" s="4" t="s">
        <v>627</v>
      </c>
    </row>
    <row r="63" customFormat="false" ht="22.35" hidden="false" customHeight="false" outlineLevel="0" collapsed="false">
      <c r="A63" s="4" t="n">
        <v>57</v>
      </c>
      <c r="B63" s="5" t="n">
        <v>46216</v>
      </c>
      <c r="C63" s="4" t="s">
        <v>518</v>
      </c>
      <c r="D63" s="4" t="s">
        <v>729</v>
      </c>
      <c r="E63" s="4" t="s">
        <v>730</v>
      </c>
      <c r="F63" s="7"/>
      <c r="G63" s="6" t="n">
        <v>34.28</v>
      </c>
      <c r="H63" s="6" t="n">
        <v>328.87</v>
      </c>
      <c r="I63" s="7" t="n">
        <f aca="false">ROUND(H62+N(F63)-N(G63)-H63,2)</f>
        <v>0</v>
      </c>
      <c r="J63" s="4" t="s">
        <v>428</v>
      </c>
      <c r="K63" s="4"/>
      <c r="L63" s="4" t="s">
        <v>152</v>
      </c>
      <c r="M63" s="12" t="s">
        <v>429</v>
      </c>
      <c r="N63" s="4" t="s">
        <v>444</v>
      </c>
    </row>
    <row r="64" customFormat="false" ht="32.8" hidden="false" customHeight="false" outlineLevel="0" collapsed="false">
      <c r="A64" s="4" t="n">
        <v>58</v>
      </c>
      <c r="B64" s="5" t="n">
        <v>46217</v>
      </c>
      <c r="C64" s="4" t="s">
        <v>518</v>
      </c>
      <c r="D64" s="4" t="s">
        <v>731</v>
      </c>
      <c r="E64" s="4" t="s">
        <v>68</v>
      </c>
      <c r="F64" s="6" t="n">
        <v>1133.26</v>
      </c>
      <c r="G64" s="7"/>
      <c r="H64" s="6" t="n">
        <v>1462.13</v>
      </c>
      <c r="I64" s="7" t="n">
        <f aca="false">ROUND(H63+N(F64)-N(G64)-H64,2)</f>
        <v>0</v>
      </c>
      <c r="J64" s="4" t="s">
        <v>631</v>
      </c>
      <c r="K64" s="4" t="s">
        <v>732</v>
      </c>
      <c r="L64" s="4" t="s">
        <v>597</v>
      </c>
      <c r="M64" s="10" t="s">
        <v>60</v>
      </c>
      <c r="N64" s="4" t="s">
        <v>733</v>
      </c>
    </row>
    <row r="65" customFormat="false" ht="22.35" hidden="false" customHeight="false" outlineLevel="0" collapsed="false">
      <c r="A65" s="4" t="n">
        <v>59</v>
      </c>
      <c r="B65" s="5" t="n">
        <v>46218</v>
      </c>
      <c r="C65" s="4" t="s">
        <v>518</v>
      </c>
      <c r="D65" s="4" t="s">
        <v>734</v>
      </c>
      <c r="E65" s="4" t="s">
        <v>735</v>
      </c>
      <c r="F65" s="7"/>
      <c r="G65" s="6" t="n">
        <v>7.56</v>
      </c>
      <c r="H65" s="6" t="n">
        <v>1454.57</v>
      </c>
      <c r="I65" s="7" t="n">
        <f aca="false">ROUND(H64+N(F65)-N(G65)-H65,2)</f>
        <v>0</v>
      </c>
      <c r="J65" s="4" t="s">
        <v>428</v>
      </c>
      <c r="K65" s="4"/>
      <c r="L65" s="4" t="s">
        <v>495</v>
      </c>
      <c r="M65" s="12" t="s">
        <v>429</v>
      </c>
      <c r="N65" s="4" t="s">
        <v>496</v>
      </c>
    </row>
    <row r="66" customFormat="false" ht="22.35" hidden="false" customHeight="false" outlineLevel="0" collapsed="false">
      <c r="A66" s="4" t="n">
        <v>60</v>
      </c>
      <c r="B66" s="5" t="n">
        <v>46220</v>
      </c>
      <c r="C66" s="4" t="s">
        <v>518</v>
      </c>
      <c r="D66" s="4" t="s">
        <v>736</v>
      </c>
      <c r="E66" s="4" t="s">
        <v>737</v>
      </c>
      <c r="F66" s="7"/>
      <c r="G66" s="6" t="n">
        <v>1292.46</v>
      </c>
      <c r="H66" s="6" t="n">
        <v>162.11</v>
      </c>
      <c r="I66" s="7" t="n">
        <f aca="false">ROUND(H65+N(F66)-N(G66)-H66,2)</f>
        <v>0</v>
      </c>
      <c r="J66" s="4" t="s">
        <v>428</v>
      </c>
      <c r="K66" s="4"/>
      <c r="L66" s="4" t="s">
        <v>533</v>
      </c>
      <c r="M66" s="10" t="s">
        <v>60</v>
      </c>
      <c r="N66" s="4" t="s">
        <v>738</v>
      </c>
    </row>
    <row r="67" customFormat="false" ht="22.35" hidden="false" customHeight="false" outlineLevel="0" collapsed="false">
      <c r="A67" s="4" t="n">
        <v>61</v>
      </c>
      <c r="B67" s="5" t="n">
        <v>46220</v>
      </c>
      <c r="C67" s="4" t="s">
        <v>518</v>
      </c>
      <c r="D67" s="4" t="s">
        <v>739</v>
      </c>
      <c r="E67" s="4" t="s">
        <v>740</v>
      </c>
      <c r="F67" s="7"/>
      <c r="G67" s="6" t="n">
        <v>43.49</v>
      </c>
      <c r="H67" s="6" t="n">
        <v>118.62</v>
      </c>
      <c r="I67" s="7" t="n">
        <f aca="false">ROUND(H66+N(F67)-N(G67)-H67,2)</f>
        <v>0</v>
      </c>
      <c r="J67" s="4" t="s">
        <v>428</v>
      </c>
      <c r="K67" s="4"/>
      <c r="L67" s="4" t="s">
        <v>152</v>
      </c>
      <c r="M67" s="12" t="s">
        <v>429</v>
      </c>
      <c r="N67" s="4" t="s">
        <v>601</v>
      </c>
    </row>
    <row r="68" customFormat="false" ht="22.35" hidden="false" customHeight="false" outlineLevel="0" collapsed="false">
      <c r="A68" s="4" t="n">
        <v>62</v>
      </c>
      <c r="B68" s="5" t="n">
        <v>46223</v>
      </c>
      <c r="C68" s="4" t="s">
        <v>518</v>
      </c>
      <c r="D68" s="4" t="s">
        <v>741</v>
      </c>
      <c r="E68" s="4" t="s">
        <v>742</v>
      </c>
      <c r="F68" s="7"/>
      <c r="G68" s="6" t="n">
        <v>5.94</v>
      </c>
      <c r="H68" s="6" t="n">
        <v>112.68</v>
      </c>
      <c r="I68" s="7" t="n">
        <f aca="false">ROUND(H67+N(F68)-N(G68)-H68,2)</f>
        <v>0</v>
      </c>
      <c r="J68" s="4" t="s">
        <v>428</v>
      </c>
      <c r="K68" s="4"/>
      <c r="L68" s="4" t="s">
        <v>495</v>
      </c>
      <c r="M68" s="12" t="s">
        <v>429</v>
      </c>
      <c r="N68" s="4" t="s">
        <v>496</v>
      </c>
    </row>
    <row r="69" customFormat="false" ht="22.35" hidden="false" customHeight="false" outlineLevel="0" collapsed="false">
      <c r="A69" s="4" t="n">
        <v>63</v>
      </c>
      <c r="B69" s="5" t="n">
        <v>46224</v>
      </c>
      <c r="C69" s="4" t="s">
        <v>518</v>
      </c>
      <c r="D69" s="4" t="s">
        <v>693</v>
      </c>
      <c r="E69" s="4" t="s">
        <v>743</v>
      </c>
      <c r="F69" s="7"/>
      <c r="G69" s="6" t="n">
        <v>44.52</v>
      </c>
      <c r="H69" s="6" t="n">
        <v>68.16</v>
      </c>
      <c r="I69" s="7" t="n">
        <f aca="false">ROUND(H68+N(F69)-N(G69)-H69,2)</f>
        <v>0</v>
      </c>
      <c r="J69" s="4" t="s">
        <v>428</v>
      </c>
      <c r="K69" s="4"/>
      <c r="L69" s="4" t="s">
        <v>152</v>
      </c>
      <c r="M69" s="12" t="s">
        <v>429</v>
      </c>
      <c r="N69" s="4" t="s">
        <v>499</v>
      </c>
    </row>
    <row r="70" customFormat="false" ht="22.35" hidden="false" customHeight="false" outlineLevel="0" collapsed="false">
      <c r="A70" s="4" t="n">
        <v>64</v>
      </c>
      <c r="B70" s="5" t="n">
        <v>46226</v>
      </c>
      <c r="C70" s="4" t="s">
        <v>518</v>
      </c>
      <c r="D70" s="4" t="s">
        <v>744</v>
      </c>
      <c r="E70" s="4" t="s">
        <v>72</v>
      </c>
      <c r="F70" s="6" t="n">
        <v>2594.28</v>
      </c>
      <c r="G70" s="7"/>
      <c r="H70" s="6" t="n">
        <v>2662.44</v>
      </c>
      <c r="I70" s="7" t="n">
        <f aca="false">ROUND(H69+N(F70)-N(G70)-H70,2)</f>
        <v>0</v>
      </c>
      <c r="J70" s="4" t="s">
        <v>631</v>
      </c>
      <c r="K70" s="4" t="s">
        <v>745</v>
      </c>
      <c r="L70" s="4" t="s">
        <v>597</v>
      </c>
      <c r="M70" s="10" t="s">
        <v>60</v>
      </c>
      <c r="N70" s="4" t="s">
        <v>746</v>
      </c>
    </row>
    <row r="71" customFormat="false" ht="22.35" hidden="false" customHeight="false" outlineLevel="0" collapsed="false">
      <c r="A71" s="4" t="n">
        <v>65</v>
      </c>
      <c r="B71" s="5" t="n">
        <v>46229</v>
      </c>
      <c r="C71" s="4" t="s">
        <v>518</v>
      </c>
      <c r="D71" s="4" t="s">
        <v>747</v>
      </c>
      <c r="E71" s="4" t="s">
        <v>748</v>
      </c>
      <c r="F71" s="7"/>
      <c r="G71" s="6" t="n">
        <v>20.54</v>
      </c>
      <c r="H71" s="6" t="n">
        <v>2641.9</v>
      </c>
      <c r="I71" s="7" t="n">
        <f aca="false">ROUND(H70+N(F71)-N(G71)-H71,2)</f>
        <v>0</v>
      </c>
      <c r="J71" s="4" t="s">
        <v>428</v>
      </c>
      <c r="K71" s="4"/>
      <c r="L71" s="4" t="s">
        <v>152</v>
      </c>
      <c r="M71" s="12" t="s">
        <v>429</v>
      </c>
      <c r="N71" s="4" t="s">
        <v>627</v>
      </c>
    </row>
    <row r="72" customFormat="false" ht="22.35" hidden="false" customHeight="false" outlineLevel="0" collapsed="false">
      <c r="A72" s="4" t="n">
        <v>66</v>
      </c>
      <c r="B72" s="5" t="n">
        <v>46231</v>
      </c>
      <c r="C72" s="4" t="s">
        <v>518</v>
      </c>
      <c r="D72" s="4" t="s">
        <v>649</v>
      </c>
      <c r="E72" s="4" t="s">
        <v>749</v>
      </c>
      <c r="F72" s="7"/>
      <c r="G72" s="6" t="n">
        <v>2215.59</v>
      </c>
      <c r="H72" s="6" t="n">
        <v>426.31</v>
      </c>
      <c r="I72" s="7" t="n">
        <f aca="false">ROUND(H71+N(F72)-N(G72)-H72,2)</f>
        <v>0</v>
      </c>
      <c r="J72" s="4" t="s">
        <v>576</v>
      </c>
      <c r="K72" s="4" t="s">
        <v>577</v>
      </c>
      <c r="L72" s="4" t="s">
        <v>578</v>
      </c>
      <c r="M72" s="8" t="s">
        <v>423</v>
      </c>
      <c r="N72" s="4" t="s">
        <v>750</v>
      </c>
    </row>
    <row r="73" customFormat="false" ht="22.35" hidden="false" customHeight="false" outlineLevel="0" collapsed="false">
      <c r="A73" s="4" t="n">
        <v>67</v>
      </c>
      <c r="B73" s="5" t="n">
        <v>46235</v>
      </c>
      <c r="C73" s="4" t="s">
        <v>524</v>
      </c>
      <c r="D73" s="4" t="s">
        <v>751</v>
      </c>
      <c r="E73" s="4" t="s">
        <v>752</v>
      </c>
      <c r="F73" s="7"/>
      <c r="G73" s="6" t="n">
        <v>241.9</v>
      </c>
      <c r="H73" s="6" t="n">
        <v>184.41</v>
      </c>
      <c r="I73" s="7" t="n">
        <f aca="false">ROUND(H72+N(F73)-N(G73)-H73,2)</f>
        <v>0</v>
      </c>
      <c r="J73" s="4" t="s">
        <v>428</v>
      </c>
      <c r="K73" s="4"/>
      <c r="L73" s="4" t="s">
        <v>152</v>
      </c>
      <c r="M73" s="12" t="s">
        <v>429</v>
      </c>
      <c r="N73" s="4" t="s">
        <v>517</v>
      </c>
    </row>
    <row r="74" customFormat="false" ht="22.35" hidden="false" customHeight="false" outlineLevel="0" collapsed="false">
      <c r="A74" s="4" t="n">
        <v>68</v>
      </c>
      <c r="B74" s="5" t="n">
        <v>46245</v>
      </c>
      <c r="C74" s="4" t="s">
        <v>524</v>
      </c>
      <c r="D74" s="4" t="s">
        <v>708</v>
      </c>
      <c r="E74" s="4" t="s">
        <v>753</v>
      </c>
      <c r="F74" s="7"/>
      <c r="G74" s="6" t="n">
        <v>20.39</v>
      </c>
      <c r="H74" s="6" t="n">
        <v>164.02</v>
      </c>
      <c r="I74" s="7" t="n">
        <f aca="false">ROUND(H73+N(F74)-N(G74)-H74,2)</f>
        <v>0</v>
      </c>
      <c r="J74" s="4" t="s">
        <v>428</v>
      </c>
      <c r="K74" s="4"/>
      <c r="L74" s="4" t="s">
        <v>152</v>
      </c>
      <c r="M74" s="12" t="s">
        <v>429</v>
      </c>
      <c r="N74" s="4" t="s">
        <v>627</v>
      </c>
    </row>
    <row r="75" customFormat="false" ht="32.8" hidden="false" customHeight="false" outlineLevel="0" collapsed="false">
      <c r="A75" s="4" t="n">
        <v>69</v>
      </c>
      <c r="B75" s="5" t="n">
        <v>46245</v>
      </c>
      <c r="C75" s="4" t="s">
        <v>524</v>
      </c>
      <c r="D75" s="4" t="s">
        <v>754</v>
      </c>
      <c r="E75" s="4" t="s">
        <v>77</v>
      </c>
      <c r="F75" s="6" t="n">
        <v>5331.84</v>
      </c>
      <c r="G75" s="7"/>
      <c r="H75" s="6" t="n">
        <v>5495.86</v>
      </c>
      <c r="I75" s="7" t="n">
        <f aca="false">ROUND(H74+N(F75)-N(G75)-H75,2)</f>
        <v>0</v>
      </c>
      <c r="J75" s="4" t="s">
        <v>631</v>
      </c>
      <c r="K75" s="4" t="s">
        <v>755</v>
      </c>
      <c r="L75" s="4" t="s">
        <v>597</v>
      </c>
      <c r="M75" s="10" t="s">
        <v>60</v>
      </c>
      <c r="N75" s="4" t="s">
        <v>756</v>
      </c>
    </row>
    <row r="76" customFormat="false" ht="22.35" hidden="false" customHeight="false" outlineLevel="0" collapsed="false">
      <c r="A76" s="4" t="n">
        <v>70</v>
      </c>
      <c r="B76" s="5" t="n">
        <v>46247</v>
      </c>
      <c r="C76" s="4" t="s">
        <v>524</v>
      </c>
      <c r="D76" s="4" t="s">
        <v>729</v>
      </c>
      <c r="E76" s="4" t="s">
        <v>757</v>
      </c>
      <c r="F76" s="7"/>
      <c r="G76" s="6" t="n">
        <v>34</v>
      </c>
      <c r="H76" s="6" t="n">
        <v>5461.86</v>
      </c>
      <c r="I76" s="7" t="n">
        <f aca="false">ROUND(H75+N(F76)-N(G76)-H76,2)</f>
        <v>0</v>
      </c>
      <c r="J76" s="4" t="s">
        <v>428</v>
      </c>
      <c r="K76" s="4"/>
      <c r="L76" s="4" t="s">
        <v>152</v>
      </c>
      <c r="M76" s="12" t="s">
        <v>429</v>
      </c>
      <c r="N76" s="4" t="s">
        <v>444</v>
      </c>
    </row>
    <row r="77" customFormat="false" ht="22.35" hidden="false" customHeight="false" outlineLevel="0" collapsed="false">
      <c r="A77" s="4" t="n">
        <v>71</v>
      </c>
      <c r="B77" s="5" t="n">
        <v>46249</v>
      </c>
      <c r="C77" s="4" t="s">
        <v>524</v>
      </c>
      <c r="D77" s="4" t="s">
        <v>758</v>
      </c>
      <c r="E77" s="4" t="s">
        <v>759</v>
      </c>
      <c r="F77" s="7"/>
      <c r="G77" s="6" t="n">
        <v>13.21</v>
      </c>
      <c r="H77" s="6" t="n">
        <v>5448.65</v>
      </c>
      <c r="I77" s="7" t="n">
        <f aca="false">ROUND(H76+N(F77)-N(G77)-H77,2)</f>
        <v>0</v>
      </c>
      <c r="J77" s="4" t="s">
        <v>428</v>
      </c>
      <c r="K77" s="4"/>
      <c r="L77" s="4" t="s">
        <v>495</v>
      </c>
      <c r="M77" s="12" t="s">
        <v>429</v>
      </c>
      <c r="N77" s="4" t="s">
        <v>496</v>
      </c>
    </row>
    <row r="78" customFormat="false" ht="22.35" hidden="false" customHeight="false" outlineLevel="0" collapsed="false">
      <c r="A78" s="4" t="n">
        <v>72</v>
      </c>
      <c r="B78" s="5" t="n">
        <v>46251</v>
      </c>
      <c r="C78" s="4" t="s">
        <v>524</v>
      </c>
      <c r="D78" s="4" t="s">
        <v>760</v>
      </c>
      <c r="E78" s="4" t="s">
        <v>320</v>
      </c>
      <c r="F78" s="7"/>
      <c r="G78" s="6" t="n">
        <v>384.21</v>
      </c>
      <c r="H78" s="6" t="n">
        <v>5064.44</v>
      </c>
      <c r="I78" s="7" t="n">
        <f aca="false">ROUND(H77+N(F78)-N(G78)-H78,2)</f>
        <v>0</v>
      </c>
      <c r="J78" s="4" t="s">
        <v>438</v>
      </c>
      <c r="K78" s="4" t="s">
        <v>761</v>
      </c>
      <c r="L78" s="4" t="s">
        <v>152</v>
      </c>
      <c r="M78" s="9" t="s">
        <v>440</v>
      </c>
      <c r="N78" s="4" t="s">
        <v>762</v>
      </c>
    </row>
    <row r="79" customFormat="false" ht="22.35" hidden="false" customHeight="false" outlineLevel="0" collapsed="false">
      <c r="A79" s="4" t="n">
        <v>73</v>
      </c>
      <c r="B79" s="5" t="n">
        <v>46251</v>
      </c>
      <c r="C79" s="4" t="s">
        <v>524</v>
      </c>
      <c r="D79" s="4" t="s">
        <v>763</v>
      </c>
      <c r="E79" s="4" t="s">
        <v>764</v>
      </c>
      <c r="F79" s="7"/>
      <c r="G79" s="6" t="n">
        <v>7.35</v>
      </c>
      <c r="H79" s="6" t="n">
        <v>5057.09</v>
      </c>
      <c r="I79" s="7" t="n">
        <f aca="false">ROUND(H78+N(F79)-N(G79)-H79,2)</f>
        <v>0</v>
      </c>
      <c r="J79" s="4" t="s">
        <v>428</v>
      </c>
      <c r="K79" s="4"/>
      <c r="L79" s="4" t="s">
        <v>152</v>
      </c>
      <c r="M79" s="12" t="s">
        <v>429</v>
      </c>
      <c r="N79" s="4" t="s">
        <v>601</v>
      </c>
    </row>
    <row r="80" customFormat="false" ht="22.35" hidden="false" customHeight="false" outlineLevel="0" collapsed="false">
      <c r="A80" s="4" t="n">
        <v>74</v>
      </c>
      <c r="B80" s="5" t="n">
        <v>46251</v>
      </c>
      <c r="C80" s="4" t="s">
        <v>524</v>
      </c>
      <c r="D80" s="4" t="s">
        <v>765</v>
      </c>
      <c r="E80" s="4" t="s">
        <v>766</v>
      </c>
      <c r="F80" s="7"/>
      <c r="G80" s="6" t="n">
        <v>206.12</v>
      </c>
      <c r="H80" s="6" t="n">
        <v>4850.97</v>
      </c>
      <c r="I80" s="7" t="n">
        <f aca="false">ROUND(H79+N(F80)-N(G80)-H80,2)</f>
        <v>0</v>
      </c>
      <c r="J80" s="4" t="s">
        <v>438</v>
      </c>
      <c r="K80" s="4" t="s">
        <v>767</v>
      </c>
      <c r="L80" s="4" t="s">
        <v>152</v>
      </c>
      <c r="M80" s="10" t="s">
        <v>60</v>
      </c>
      <c r="N80" s="4" t="s">
        <v>768</v>
      </c>
    </row>
    <row r="81" customFormat="false" ht="22.35" hidden="false" customHeight="false" outlineLevel="0" collapsed="false">
      <c r="A81" s="4" t="n">
        <v>75</v>
      </c>
      <c r="B81" s="5" t="n">
        <v>46253</v>
      </c>
      <c r="C81" s="4" t="s">
        <v>524</v>
      </c>
      <c r="D81" s="4" t="s">
        <v>769</v>
      </c>
      <c r="E81" s="4" t="s">
        <v>770</v>
      </c>
      <c r="F81" s="7"/>
      <c r="G81" s="6" t="n">
        <v>144.96</v>
      </c>
      <c r="H81" s="6" t="n">
        <v>4706.01</v>
      </c>
      <c r="I81" s="7" t="n">
        <f aca="false">ROUND(H80+N(F81)-N(G81)-H81,2)</f>
        <v>0</v>
      </c>
      <c r="J81" s="4" t="s">
        <v>428</v>
      </c>
      <c r="K81" s="4"/>
      <c r="L81" s="4" t="s">
        <v>495</v>
      </c>
      <c r="M81" s="12" t="s">
        <v>429</v>
      </c>
      <c r="N81" s="4" t="s">
        <v>496</v>
      </c>
    </row>
    <row r="82" customFormat="false" ht="22.35" hidden="false" customHeight="false" outlineLevel="0" collapsed="false">
      <c r="A82" s="4" t="n">
        <v>76</v>
      </c>
      <c r="B82" s="5" t="n">
        <v>46255</v>
      </c>
      <c r="C82" s="4" t="s">
        <v>524</v>
      </c>
      <c r="D82" s="4" t="s">
        <v>771</v>
      </c>
      <c r="E82" s="4" t="s">
        <v>772</v>
      </c>
      <c r="F82" s="7"/>
      <c r="G82" s="6" t="n">
        <v>52.94</v>
      </c>
      <c r="H82" s="6" t="n">
        <v>4653.07</v>
      </c>
      <c r="I82" s="7" t="n">
        <f aca="false">ROUND(H81+N(F82)-N(G82)-H82,2)</f>
        <v>0</v>
      </c>
      <c r="J82" s="4" t="s">
        <v>428</v>
      </c>
      <c r="K82" s="4"/>
      <c r="L82" s="4" t="s">
        <v>495</v>
      </c>
      <c r="M82" s="12" t="s">
        <v>429</v>
      </c>
      <c r="N82" s="4" t="s">
        <v>496</v>
      </c>
    </row>
    <row r="83" customFormat="false" ht="22.35" hidden="false" customHeight="false" outlineLevel="0" collapsed="false">
      <c r="A83" s="4" t="n">
        <v>77</v>
      </c>
      <c r="B83" s="5" t="n">
        <v>46255</v>
      </c>
      <c r="C83" s="4" t="s">
        <v>524</v>
      </c>
      <c r="D83" s="4" t="s">
        <v>773</v>
      </c>
      <c r="E83" s="4" t="s">
        <v>774</v>
      </c>
      <c r="F83" s="7"/>
      <c r="G83" s="6" t="n">
        <v>43.49</v>
      </c>
      <c r="H83" s="6" t="n">
        <v>4609.58</v>
      </c>
      <c r="I83" s="7" t="n">
        <f aca="false">ROUND(H82+N(F83)-N(G83)-H83,2)</f>
        <v>0</v>
      </c>
      <c r="J83" s="4" t="s">
        <v>428</v>
      </c>
      <c r="K83" s="4"/>
      <c r="L83" s="4" t="s">
        <v>152</v>
      </c>
      <c r="M83" s="12" t="s">
        <v>429</v>
      </c>
      <c r="N83" s="4" t="s">
        <v>499</v>
      </c>
    </row>
    <row r="84" customFormat="false" ht="22.35" hidden="false" customHeight="false" outlineLevel="0" collapsed="false">
      <c r="A84" s="4" t="n">
        <v>78</v>
      </c>
      <c r="B84" s="5" t="n">
        <v>46257</v>
      </c>
      <c r="C84" s="4" t="s">
        <v>524</v>
      </c>
      <c r="D84" s="4" t="s">
        <v>775</v>
      </c>
      <c r="E84" s="4" t="s">
        <v>776</v>
      </c>
      <c r="F84" s="7"/>
      <c r="G84" s="6" t="n">
        <v>330.1</v>
      </c>
      <c r="H84" s="6" t="n">
        <v>4279.48</v>
      </c>
      <c r="I84" s="7" t="n">
        <f aca="false">ROUND(H83+N(F84)-N(G84)-H84,2)</f>
        <v>0</v>
      </c>
      <c r="J84" s="4" t="s">
        <v>428</v>
      </c>
      <c r="K84" s="4"/>
      <c r="L84" s="4" t="s">
        <v>163</v>
      </c>
      <c r="M84" s="12" t="s">
        <v>429</v>
      </c>
      <c r="N84" s="4" t="s">
        <v>777</v>
      </c>
    </row>
    <row r="85" customFormat="false" ht="43.25" hidden="false" customHeight="false" outlineLevel="0" collapsed="false">
      <c r="A85" s="4" t="n">
        <v>79</v>
      </c>
      <c r="B85" s="5" t="n">
        <v>46259</v>
      </c>
      <c r="C85" s="4" t="s">
        <v>524</v>
      </c>
      <c r="D85" s="4" t="s">
        <v>649</v>
      </c>
      <c r="E85" s="4" t="s">
        <v>778</v>
      </c>
      <c r="F85" s="7"/>
      <c r="G85" s="6" t="n">
        <v>356.51</v>
      </c>
      <c r="H85" s="6" t="n">
        <v>3922.97</v>
      </c>
      <c r="I85" s="7" t="n">
        <f aca="false">ROUND(H84+N(F85)-N(G85)-H85,2)</f>
        <v>0</v>
      </c>
      <c r="J85" s="4" t="s">
        <v>779</v>
      </c>
      <c r="K85" s="4" t="s">
        <v>780</v>
      </c>
      <c r="L85" s="4" t="s">
        <v>152</v>
      </c>
      <c r="M85" s="10" t="s">
        <v>781</v>
      </c>
      <c r="N85" s="4" t="s">
        <v>782</v>
      </c>
    </row>
    <row r="86" customFormat="false" ht="22.35" hidden="false" customHeight="false" outlineLevel="0" collapsed="false">
      <c r="A86" s="4" t="n">
        <v>80</v>
      </c>
      <c r="B86" s="5" t="n">
        <v>46259</v>
      </c>
      <c r="C86" s="4" t="s">
        <v>524</v>
      </c>
      <c r="D86" s="4" t="s">
        <v>783</v>
      </c>
      <c r="E86" s="4" t="s">
        <v>784</v>
      </c>
      <c r="F86" s="7"/>
      <c r="G86" s="6" t="n">
        <v>1600.44</v>
      </c>
      <c r="H86" s="6" t="n">
        <v>2322.53</v>
      </c>
      <c r="I86" s="7" t="n">
        <f aca="false">ROUND(H85+N(F86)-N(G86)-H86,2)</f>
        <v>0</v>
      </c>
      <c r="J86" s="4" t="s">
        <v>785</v>
      </c>
      <c r="K86" s="4" t="s">
        <v>786</v>
      </c>
      <c r="L86" s="4" t="s">
        <v>787</v>
      </c>
      <c r="M86" s="8" t="s">
        <v>423</v>
      </c>
      <c r="N86" s="4" t="s">
        <v>788</v>
      </c>
    </row>
    <row r="87" customFormat="false" ht="22.35" hidden="false" customHeight="false" outlineLevel="0" collapsed="false">
      <c r="A87" s="4" t="n">
        <v>81</v>
      </c>
      <c r="B87" s="5" t="n">
        <v>46262</v>
      </c>
      <c r="C87" s="4" t="s">
        <v>524</v>
      </c>
      <c r="D87" s="4" t="s">
        <v>789</v>
      </c>
      <c r="E87" s="4" t="s">
        <v>790</v>
      </c>
      <c r="F87" s="7"/>
      <c r="G87" s="6" t="n">
        <v>69.45</v>
      </c>
      <c r="H87" s="6" t="n">
        <v>2253.08</v>
      </c>
      <c r="I87" s="7" t="n">
        <f aca="false">ROUND(H86+N(F87)-N(G87)-H87,2)</f>
        <v>0</v>
      </c>
      <c r="J87" s="4" t="s">
        <v>428</v>
      </c>
      <c r="K87" s="4"/>
      <c r="L87" s="4" t="s">
        <v>163</v>
      </c>
      <c r="M87" s="12" t="s">
        <v>429</v>
      </c>
      <c r="N87" s="4" t="s">
        <v>791</v>
      </c>
    </row>
    <row r="88" customFormat="false" ht="22.35" hidden="false" customHeight="false" outlineLevel="0" collapsed="false">
      <c r="A88" s="4" t="n">
        <v>82</v>
      </c>
      <c r="B88" s="5" t="n">
        <v>46264</v>
      </c>
      <c r="C88" s="4" t="s">
        <v>524</v>
      </c>
      <c r="D88" s="4" t="s">
        <v>792</v>
      </c>
      <c r="E88" s="4" t="s">
        <v>793</v>
      </c>
      <c r="F88" s="7"/>
      <c r="G88" s="6" t="n">
        <v>87.75</v>
      </c>
      <c r="H88" s="6" t="n">
        <v>2165.33</v>
      </c>
      <c r="I88" s="7" t="n">
        <f aca="false">ROUND(H87+N(F88)-N(G88)-H88,2)</f>
        <v>0</v>
      </c>
      <c r="J88" s="4" t="s">
        <v>428</v>
      </c>
      <c r="K88" s="4"/>
      <c r="L88" s="4" t="s">
        <v>152</v>
      </c>
      <c r="M88" s="12" t="s">
        <v>429</v>
      </c>
      <c r="N88" s="4" t="s">
        <v>794</v>
      </c>
    </row>
    <row r="89" customFormat="false" ht="22.35" hidden="false" customHeight="false" outlineLevel="0" collapsed="false">
      <c r="A89" s="4" t="n">
        <v>83</v>
      </c>
      <c r="B89" s="5" t="n">
        <v>46265</v>
      </c>
      <c r="C89" s="4" t="s">
        <v>524</v>
      </c>
      <c r="D89" s="4" t="s">
        <v>795</v>
      </c>
      <c r="E89" s="4" t="s">
        <v>80</v>
      </c>
      <c r="F89" s="6" t="n">
        <v>1078.73</v>
      </c>
      <c r="G89" s="7"/>
      <c r="H89" s="6" t="n">
        <v>3244.06</v>
      </c>
      <c r="I89" s="7" t="n">
        <f aca="false">ROUND(H88+N(F89)-N(G89)-H89,2)</f>
        <v>0</v>
      </c>
      <c r="J89" s="4" t="s">
        <v>631</v>
      </c>
      <c r="K89" s="4" t="s">
        <v>796</v>
      </c>
      <c r="L89" s="4" t="s">
        <v>597</v>
      </c>
      <c r="M89" s="10" t="s">
        <v>60</v>
      </c>
      <c r="N89" s="4" t="s">
        <v>756</v>
      </c>
    </row>
    <row r="90" customFormat="false" ht="15" hidden="false" customHeight="false" outlineLevel="0" collapsed="false">
      <c r="A90" s="4" t="n">
        <v>84</v>
      </c>
      <c r="B90" s="5" t="n">
        <v>46266</v>
      </c>
      <c r="C90" s="4" t="s">
        <v>535</v>
      </c>
      <c r="D90" s="4" t="s">
        <v>783</v>
      </c>
      <c r="E90" s="4" t="s">
        <v>797</v>
      </c>
      <c r="F90" s="7"/>
      <c r="G90" s="6" t="n">
        <v>1607.62</v>
      </c>
      <c r="H90" s="6" t="n">
        <v>1636.44</v>
      </c>
      <c r="I90" s="7" t="n">
        <f aca="false">ROUND(H89+N(F90)-N(G90)-H90,2)</f>
        <v>0</v>
      </c>
      <c r="J90" s="4" t="s">
        <v>428</v>
      </c>
      <c r="K90" s="4"/>
      <c r="L90" s="4" t="s">
        <v>256</v>
      </c>
      <c r="M90" s="10" t="s">
        <v>60</v>
      </c>
      <c r="N90" s="4" t="s">
        <v>798</v>
      </c>
    </row>
    <row r="91" customFormat="false" ht="22.35" hidden="false" customHeight="false" outlineLevel="0" collapsed="false">
      <c r="A91" s="4" t="n">
        <v>85</v>
      </c>
      <c r="B91" s="5" t="n">
        <v>46266</v>
      </c>
      <c r="C91" s="4" t="s">
        <v>535</v>
      </c>
      <c r="D91" s="4" t="s">
        <v>799</v>
      </c>
      <c r="E91" s="4" t="s">
        <v>800</v>
      </c>
      <c r="F91" s="7"/>
      <c r="G91" s="6" t="n">
        <v>425.14</v>
      </c>
      <c r="H91" s="6" t="n">
        <v>1211.3</v>
      </c>
      <c r="I91" s="7" t="n">
        <f aca="false">ROUND(H90+N(F91)-N(G91)-H91,2)</f>
        <v>0</v>
      </c>
      <c r="J91" s="4" t="s">
        <v>438</v>
      </c>
      <c r="K91" s="4" t="s">
        <v>801</v>
      </c>
      <c r="L91" s="4" t="s">
        <v>152</v>
      </c>
      <c r="M91" s="10" t="s">
        <v>60</v>
      </c>
      <c r="N91" s="4" t="s">
        <v>802</v>
      </c>
    </row>
    <row r="92" customFormat="false" ht="22.35" hidden="false" customHeight="false" outlineLevel="0" collapsed="false">
      <c r="A92" s="4" t="n">
        <v>86</v>
      </c>
      <c r="B92" s="5" t="n">
        <v>46266</v>
      </c>
      <c r="C92" s="4" t="s">
        <v>535</v>
      </c>
      <c r="D92" s="4" t="s">
        <v>803</v>
      </c>
      <c r="E92" s="4" t="s">
        <v>804</v>
      </c>
      <c r="F92" s="7"/>
      <c r="G92" s="6" t="n">
        <v>238.04</v>
      </c>
      <c r="H92" s="6" t="n">
        <v>973.26</v>
      </c>
      <c r="I92" s="7" t="n">
        <f aca="false">ROUND(H91+N(F92)-N(G92)-H92,2)</f>
        <v>0</v>
      </c>
      <c r="J92" s="4" t="s">
        <v>428</v>
      </c>
      <c r="K92" s="4"/>
      <c r="L92" s="4" t="s">
        <v>152</v>
      </c>
      <c r="M92" s="12" t="s">
        <v>429</v>
      </c>
      <c r="N92" s="4" t="s">
        <v>517</v>
      </c>
    </row>
    <row r="93" customFormat="false" ht="22.35" hidden="false" customHeight="false" outlineLevel="0" collapsed="false">
      <c r="A93" s="4" t="n">
        <v>87</v>
      </c>
      <c r="B93" s="5" t="n">
        <v>46266</v>
      </c>
      <c r="C93" s="4" t="s">
        <v>535</v>
      </c>
      <c r="D93" s="4" t="s">
        <v>805</v>
      </c>
      <c r="E93" s="4" t="s">
        <v>806</v>
      </c>
      <c r="F93" s="7"/>
      <c r="G93" s="6" t="n">
        <v>19.65</v>
      </c>
      <c r="H93" s="6" t="n">
        <v>953.61</v>
      </c>
      <c r="I93" s="7" t="n">
        <f aca="false">ROUND(H92+N(F93)-N(G93)-H93,2)</f>
        <v>0</v>
      </c>
      <c r="J93" s="4" t="s">
        <v>428</v>
      </c>
      <c r="K93" s="4"/>
      <c r="L93" s="4" t="s">
        <v>152</v>
      </c>
      <c r="M93" s="12" t="s">
        <v>429</v>
      </c>
      <c r="N93" s="4" t="s">
        <v>807</v>
      </c>
    </row>
    <row r="94" customFormat="false" ht="22.35" hidden="false" customHeight="false" outlineLevel="0" collapsed="false">
      <c r="A94" s="4" t="n">
        <v>88</v>
      </c>
      <c r="B94" s="5" t="n">
        <v>46268</v>
      </c>
      <c r="C94" s="4" t="s">
        <v>535</v>
      </c>
      <c r="D94" s="4" t="s">
        <v>808</v>
      </c>
      <c r="E94" s="4" t="s">
        <v>809</v>
      </c>
      <c r="F94" s="7"/>
      <c r="G94" s="6" t="n">
        <v>37.57</v>
      </c>
      <c r="H94" s="6" t="n">
        <v>916.04</v>
      </c>
      <c r="I94" s="7" t="n">
        <f aca="false">ROUND(H93+N(F94)-N(G94)-H94,2)</f>
        <v>0</v>
      </c>
      <c r="J94" s="4" t="s">
        <v>428</v>
      </c>
      <c r="K94" s="4"/>
      <c r="L94" s="4" t="s">
        <v>495</v>
      </c>
      <c r="M94" s="12" t="s">
        <v>429</v>
      </c>
      <c r="N94" s="4" t="s">
        <v>496</v>
      </c>
    </row>
    <row r="95" customFormat="false" ht="22.35" hidden="false" customHeight="false" outlineLevel="0" collapsed="false">
      <c r="A95" s="4" t="n">
        <v>89</v>
      </c>
      <c r="B95" s="5" t="n">
        <v>46268</v>
      </c>
      <c r="C95" s="4" t="s">
        <v>535</v>
      </c>
      <c r="D95" s="4" t="s">
        <v>810</v>
      </c>
      <c r="E95" s="4" t="s">
        <v>811</v>
      </c>
      <c r="F95" s="7"/>
      <c r="G95" s="6" t="n">
        <v>85.85</v>
      </c>
      <c r="H95" s="6" t="n">
        <v>830.19</v>
      </c>
      <c r="I95" s="7" t="n">
        <f aca="false">ROUND(H94+N(F95)-N(G95)-H95,2)</f>
        <v>0</v>
      </c>
      <c r="J95" s="4" t="s">
        <v>428</v>
      </c>
      <c r="K95" s="4"/>
      <c r="L95" s="4" t="s">
        <v>812</v>
      </c>
      <c r="M95" s="12" t="s">
        <v>429</v>
      </c>
      <c r="N95" s="4" t="s">
        <v>813</v>
      </c>
    </row>
    <row r="96" customFormat="false" ht="22.35" hidden="false" customHeight="false" outlineLevel="0" collapsed="false">
      <c r="A96" s="4" t="n">
        <v>90</v>
      </c>
      <c r="B96" s="5" t="n">
        <v>46268</v>
      </c>
      <c r="C96" s="4" t="s">
        <v>535</v>
      </c>
      <c r="D96" s="4" t="s">
        <v>814</v>
      </c>
      <c r="E96" s="4" t="s">
        <v>815</v>
      </c>
      <c r="F96" s="7"/>
      <c r="G96" s="6" t="n">
        <v>0.22</v>
      </c>
      <c r="H96" s="6" t="n">
        <v>829.97</v>
      </c>
      <c r="I96" s="7" t="n">
        <f aca="false">ROUND(H95+N(F96)-N(G96)-H96,2)</f>
        <v>0</v>
      </c>
      <c r="J96" s="4" t="s">
        <v>816</v>
      </c>
      <c r="K96" s="4" t="s">
        <v>817</v>
      </c>
      <c r="L96" s="4" t="s">
        <v>163</v>
      </c>
      <c r="M96" s="8" t="s">
        <v>423</v>
      </c>
      <c r="N96" s="4" t="s">
        <v>818</v>
      </c>
    </row>
    <row r="97" customFormat="false" ht="22.35" hidden="false" customHeight="false" outlineLevel="0" collapsed="false">
      <c r="A97" s="4" t="n">
        <v>91</v>
      </c>
      <c r="B97" s="5" t="n">
        <v>46268</v>
      </c>
      <c r="C97" s="4" t="s">
        <v>535</v>
      </c>
      <c r="D97" s="4" t="s">
        <v>814</v>
      </c>
      <c r="E97" s="4" t="s">
        <v>815</v>
      </c>
      <c r="F97" s="6" t="n">
        <v>0.22</v>
      </c>
      <c r="G97" s="7"/>
      <c r="H97" s="6" t="n">
        <v>830.19</v>
      </c>
      <c r="I97" s="7" t="n">
        <f aca="false">ROUND(H96+N(F97)-N(G97)-H97,2)</f>
        <v>0</v>
      </c>
      <c r="J97" s="4" t="s">
        <v>816</v>
      </c>
      <c r="K97" s="4" t="s">
        <v>817</v>
      </c>
      <c r="L97" s="4" t="s">
        <v>163</v>
      </c>
      <c r="M97" s="8" t="s">
        <v>423</v>
      </c>
      <c r="N97" s="4" t="s">
        <v>818</v>
      </c>
    </row>
    <row r="98" customFormat="false" ht="22.35" hidden="false" customHeight="false" outlineLevel="0" collapsed="false">
      <c r="A98" s="4" t="n">
        <v>92</v>
      </c>
      <c r="B98" s="5" t="n">
        <v>46268</v>
      </c>
      <c r="C98" s="4" t="s">
        <v>535</v>
      </c>
      <c r="D98" s="4" t="s">
        <v>819</v>
      </c>
      <c r="E98" s="4" t="s">
        <v>820</v>
      </c>
      <c r="F98" s="7"/>
      <c r="G98" s="6" t="n">
        <v>17.58</v>
      </c>
      <c r="H98" s="6" t="n">
        <v>812.61</v>
      </c>
      <c r="I98" s="7" t="n">
        <f aca="false">ROUND(H97+N(F98)-N(G98)-H98,2)</f>
        <v>0</v>
      </c>
      <c r="J98" s="4" t="s">
        <v>428</v>
      </c>
      <c r="K98" s="4"/>
      <c r="L98" s="4" t="s">
        <v>163</v>
      </c>
      <c r="M98" s="12" t="s">
        <v>429</v>
      </c>
      <c r="N98" s="4" t="s">
        <v>548</v>
      </c>
    </row>
    <row r="99" customFormat="false" ht="22.35" hidden="false" customHeight="false" outlineLevel="0" collapsed="false">
      <c r="A99" s="4" t="n">
        <v>93</v>
      </c>
      <c r="B99" s="5" t="n">
        <v>46268</v>
      </c>
      <c r="C99" s="4" t="s">
        <v>535</v>
      </c>
      <c r="D99" s="4" t="s">
        <v>821</v>
      </c>
      <c r="E99" s="4" t="s">
        <v>822</v>
      </c>
      <c r="F99" s="7"/>
      <c r="G99" s="6" t="n">
        <v>1.69</v>
      </c>
      <c r="H99" s="6" t="n">
        <v>810.92</v>
      </c>
      <c r="I99" s="7" t="n">
        <f aca="false">ROUND(H98+N(F99)-N(G99)-H99,2)</f>
        <v>0</v>
      </c>
      <c r="J99" s="4" t="s">
        <v>428</v>
      </c>
      <c r="K99" s="4"/>
      <c r="L99" s="4" t="s">
        <v>163</v>
      </c>
      <c r="M99" s="12" t="s">
        <v>429</v>
      </c>
      <c r="N99" s="4" t="s">
        <v>548</v>
      </c>
    </row>
    <row r="100" customFormat="false" ht="22.35" hidden="false" customHeight="false" outlineLevel="0" collapsed="false">
      <c r="A100" s="4" t="n">
        <v>94</v>
      </c>
      <c r="B100" s="5" t="n">
        <v>46268</v>
      </c>
      <c r="C100" s="4" t="s">
        <v>535</v>
      </c>
      <c r="D100" s="4" t="s">
        <v>823</v>
      </c>
      <c r="E100" s="4" t="s">
        <v>824</v>
      </c>
      <c r="F100" s="7"/>
      <c r="G100" s="6" t="n">
        <v>4.74</v>
      </c>
      <c r="H100" s="6" t="n">
        <v>806.18</v>
      </c>
      <c r="I100" s="7" t="n">
        <f aca="false">ROUND(H99+N(F100)-N(G100)-H100,2)</f>
        <v>0</v>
      </c>
      <c r="J100" s="4" t="s">
        <v>428</v>
      </c>
      <c r="K100" s="4"/>
      <c r="L100" s="4" t="s">
        <v>163</v>
      </c>
      <c r="M100" s="12" t="s">
        <v>429</v>
      </c>
      <c r="N100" s="4" t="s">
        <v>548</v>
      </c>
    </row>
    <row r="101" customFormat="false" ht="22.35" hidden="false" customHeight="false" outlineLevel="0" collapsed="false">
      <c r="A101" s="4" t="n">
        <v>95</v>
      </c>
      <c r="B101" s="5" t="n">
        <v>46268</v>
      </c>
      <c r="C101" s="4" t="s">
        <v>535</v>
      </c>
      <c r="D101" s="4" t="s">
        <v>825</v>
      </c>
      <c r="E101" s="4" t="s">
        <v>826</v>
      </c>
      <c r="F101" s="7"/>
      <c r="G101" s="6" t="n">
        <v>3.37</v>
      </c>
      <c r="H101" s="6" t="n">
        <v>802.81</v>
      </c>
      <c r="I101" s="7" t="n">
        <f aca="false">ROUND(H100+N(F101)-N(G101)-H101,2)</f>
        <v>0</v>
      </c>
      <c r="J101" s="4" t="s">
        <v>428</v>
      </c>
      <c r="K101" s="4"/>
      <c r="L101" s="4" t="s">
        <v>163</v>
      </c>
      <c r="M101" s="12" t="s">
        <v>429</v>
      </c>
      <c r="N101" s="4" t="s">
        <v>548</v>
      </c>
    </row>
    <row r="102" customFormat="false" ht="22.35" hidden="false" customHeight="false" outlineLevel="0" collapsed="false">
      <c r="A102" s="4" t="n">
        <v>96</v>
      </c>
      <c r="B102" s="5" t="n">
        <v>46268</v>
      </c>
      <c r="C102" s="4" t="s">
        <v>535</v>
      </c>
      <c r="D102" s="4" t="s">
        <v>827</v>
      </c>
      <c r="E102" s="4" t="s">
        <v>828</v>
      </c>
      <c r="F102" s="7"/>
      <c r="G102" s="6" t="n">
        <v>3.15</v>
      </c>
      <c r="H102" s="6" t="n">
        <v>799.66</v>
      </c>
      <c r="I102" s="7" t="n">
        <f aca="false">ROUND(H101+N(F102)-N(G102)-H102,2)</f>
        <v>0</v>
      </c>
      <c r="J102" s="4" t="s">
        <v>428</v>
      </c>
      <c r="K102" s="4"/>
      <c r="L102" s="4" t="s">
        <v>163</v>
      </c>
      <c r="M102" s="12" t="s">
        <v>429</v>
      </c>
      <c r="N102" s="4" t="s">
        <v>548</v>
      </c>
    </row>
    <row r="103" customFormat="false" ht="22.35" hidden="false" customHeight="false" outlineLevel="0" collapsed="false">
      <c r="A103" s="4" t="n">
        <v>97</v>
      </c>
      <c r="B103" s="5" t="n">
        <v>46269</v>
      </c>
      <c r="C103" s="4" t="s">
        <v>535</v>
      </c>
      <c r="D103" s="4" t="s">
        <v>829</v>
      </c>
      <c r="E103" s="4" t="s">
        <v>830</v>
      </c>
      <c r="F103" s="7"/>
      <c r="G103" s="6" t="n">
        <v>10.39</v>
      </c>
      <c r="H103" s="6" t="n">
        <v>789.27</v>
      </c>
      <c r="I103" s="7" t="n">
        <f aca="false">ROUND(H102+N(F103)-N(G103)-H103,2)</f>
        <v>0</v>
      </c>
      <c r="J103" s="4" t="s">
        <v>428</v>
      </c>
      <c r="K103" s="4"/>
      <c r="L103" s="4" t="s">
        <v>495</v>
      </c>
      <c r="M103" s="12" t="s">
        <v>429</v>
      </c>
      <c r="N103" s="4" t="s">
        <v>496</v>
      </c>
    </row>
    <row r="104" customFormat="false" ht="22.35" hidden="false" customHeight="false" outlineLevel="0" collapsed="false">
      <c r="A104" s="4" t="n">
        <v>98</v>
      </c>
      <c r="B104" s="5" t="n">
        <v>46269</v>
      </c>
      <c r="C104" s="4" t="s">
        <v>535</v>
      </c>
      <c r="D104" s="4" t="s">
        <v>831</v>
      </c>
      <c r="E104" s="4" t="s">
        <v>832</v>
      </c>
      <c r="F104" s="7"/>
      <c r="G104" s="6" t="n">
        <v>19.03</v>
      </c>
      <c r="H104" s="6" t="n">
        <v>770.24</v>
      </c>
      <c r="I104" s="7" t="n">
        <f aca="false">ROUND(H103+N(F104)-N(G104)-H104,2)</f>
        <v>0</v>
      </c>
      <c r="J104" s="4" t="s">
        <v>428</v>
      </c>
      <c r="K104" s="4"/>
      <c r="L104" s="4" t="s">
        <v>163</v>
      </c>
      <c r="M104" s="12" t="s">
        <v>429</v>
      </c>
      <c r="N104" s="4" t="s">
        <v>548</v>
      </c>
    </row>
    <row r="105" customFormat="false" ht="22.35" hidden="false" customHeight="false" outlineLevel="0" collapsed="false">
      <c r="A105" s="4" t="n">
        <v>99</v>
      </c>
      <c r="B105" s="5" t="n">
        <v>46269</v>
      </c>
      <c r="C105" s="4" t="s">
        <v>535</v>
      </c>
      <c r="D105" s="4" t="s">
        <v>823</v>
      </c>
      <c r="E105" s="4" t="s">
        <v>833</v>
      </c>
      <c r="F105" s="7"/>
      <c r="G105" s="6" t="n">
        <v>4.73</v>
      </c>
      <c r="H105" s="6" t="n">
        <v>765.51</v>
      </c>
      <c r="I105" s="7" t="n">
        <f aca="false">ROUND(H104+N(F105)-N(G105)-H105,2)</f>
        <v>0</v>
      </c>
      <c r="J105" s="4" t="s">
        <v>428</v>
      </c>
      <c r="K105" s="4"/>
      <c r="L105" s="4" t="s">
        <v>163</v>
      </c>
      <c r="M105" s="12" t="s">
        <v>429</v>
      </c>
      <c r="N105" s="4" t="s">
        <v>548</v>
      </c>
    </row>
    <row r="106" customFormat="false" ht="22.35" hidden="false" customHeight="false" outlineLevel="0" collapsed="false">
      <c r="A106" s="4" t="n">
        <v>100</v>
      </c>
      <c r="B106" s="5" t="n">
        <v>46269</v>
      </c>
      <c r="C106" s="4" t="s">
        <v>535</v>
      </c>
      <c r="D106" s="4" t="s">
        <v>834</v>
      </c>
      <c r="E106" s="4" t="s">
        <v>835</v>
      </c>
      <c r="F106" s="7"/>
      <c r="G106" s="6" t="n">
        <v>2.13</v>
      </c>
      <c r="H106" s="6" t="n">
        <v>763.38</v>
      </c>
      <c r="I106" s="7" t="n">
        <f aca="false">ROUND(H105+N(F106)-N(G106)-H106,2)</f>
        <v>0</v>
      </c>
      <c r="J106" s="4" t="s">
        <v>428</v>
      </c>
      <c r="K106" s="4"/>
      <c r="L106" s="4" t="s">
        <v>163</v>
      </c>
      <c r="M106" s="12" t="s">
        <v>429</v>
      </c>
      <c r="N106" s="4" t="s">
        <v>548</v>
      </c>
    </row>
    <row r="107" customFormat="false" ht="22.35" hidden="false" customHeight="false" outlineLevel="0" collapsed="false">
      <c r="A107" s="4" t="n">
        <v>101</v>
      </c>
      <c r="B107" s="5" t="n">
        <v>46269</v>
      </c>
      <c r="C107" s="4" t="s">
        <v>535</v>
      </c>
      <c r="D107" s="4" t="s">
        <v>836</v>
      </c>
      <c r="E107" s="4" t="s">
        <v>837</v>
      </c>
      <c r="F107" s="7"/>
      <c r="G107" s="6" t="n">
        <v>49.12</v>
      </c>
      <c r="H107" s="6" t="n">
        <v>714.26</v>
      </c>
      <c r="I107" s="7" t="n">
        <f aca="false">ROUND(H106+N(F107)-N(G107)-H107,2)</f>
        <v>0</v>
      </c>
      <c r="J107" s="4" t="s">
        <v>428</v>
      </c>
      <c r="K107" s="4"/>
      <c r="L107" s="4" t="s">
        <v>163</v>
      </c>
      <c r="M107" s="12" t="s">
        <v>429</v>
      </c>
      <c r="N107" s="4" t="s">
        <v>548</v>
      </c>
    </row>
    <row r="108" customFormat="false" ht="22.35" hidden="false" customHeight="false" outlineLevel="0" collapsed="false">
      <c r="A108" s="4" t="n">
        <v>102</v>
      </c>
      <c r="B108" s="5" t="n">
        <v>46269</v>
      </c>
      <c r="C108" s="4" t="s">
        <v>535</v>
      </c>
      <c r="D108" s="4" t="s">
        <v>838</v>
      </c>
      <c r="E108" s="4" t="s">
        <v>839</v>
      </c>
      <c r="F108" s="7"/>
      <c r="G108" s="6" t="n">
        <v>3.8</v>
      </c>
      <c r="H108" s="6" t="n">
        <v>710.46</v>
      </c>
      <c r="I108" s="7" t="n">
        <f aca="false">ROUND(H107+N(F108)-N(G108)-H108,2)</f>
        <v>0</v>
      </c>
      <c r="J108" s="4" t="s">
        <v>428</v>
      </c>
      <c r="K108" s="4"/>
      <c r="L108" s="4" t="s">
        <v>163</v>
      </c>
      <c r="M108" s="12" t="s">
        <v>429</v>
      </c>
      <c r="N108" s="4" t="s">
        <v>548</v>
      </c>
    </row>
    <row r="109" customFormat="false" ht="22.35" hidden="false" customHeight="false" outlineLevel="0" collapsed="false">
      <c r="A109" s="4" t="n">
        <v>103</v>
      </c>
      <c r="B109" s="5" t="n">
        <v>46269</v>
      </c>
      <c r="C109" s="4" t="s">
        <v>535</v>
      </c>
      <c r="D109" s="4" t="s">
        <v>840</v>
      </c>
      <c r="E109" s="4" t="s">
        <v>841</v>
      </c>
      <c r="F109" s="7"/>
      <c r="G109" s="6" t="n">
        <v>1.3</v>
      </c>
      <c r="H109" s="6" t="n">
        <v>709.16</v>
      </c>
      <c r="I109" s="7" t="n">
        <f aca="false">ROUND(H108+N(F109)-N(G109)-H109,2)</f>
        <v>0</v>
      </c>
      <c r="J109" s="4" t="s">
        <v>428</v>
      </c>
      <c r="K109" s="4"/>
      <c r="L109" s="4" t="s">
        <v>163</v>
      </c>
      <c r="M109" s="12" t="s">
        <v>429</v>
      </c>
      <c r="N109" s="4" t="s">
        <v>548</v>
      </c>
    </row>
    <row r="110" customFormat="false" ht="22.35" hidden="false" customHeight="false" outlineLevel="0" collapsed="false">
      <c r="A110" s="4" t="n">
        <v>104</v>
      </c>
      <c r="B110" s="5" t="n">
        <v>46270</v>
      </c>
      <c r="C110" s="4" t="s">
        <v>535</v>
      </c>
      <c r="D110" s="4" t="s">
        <v>842</v>
      </c>
      <c r="E110" s="4" t="s">
        <v>843</v>
      </c>
      <c r="F110" s="7"/>
      <c r="G110" s="6" t="n">
        <v>1.02</v>
      </c>
      <c r="H110" s="6" t="n">
        <v>708.14</v>
      </c>
      <c r="I110" s="7" t="n">
        <f aca="false">ROUND(H109+N(F110)-N(G110)-H110,2)</f>
        <v>0</v>
      </c>
      <c r="J110" s="4" t="s">
        <v>428</v>
      </c>
      <c r="K110" s="4"/>
      <c r="L110" s="4" t="s">
        <v>495</v>
      </c>
      <c r="M110" s="12" t="s">
        <v>429</v>
      </c>
      <c r="N110" s="4" t="s">
        <v>496</v>
      </c>
    </row>
    <row r="111" customFormat="false" ht="22.35" hidden="false" customHeight="false" outlineLevel="0" collapsed="false">
      <c r="A111" s="4" t="n">
        <v>105</v>
      </c>
      <c r="B111" s="5" t="n">
        <v>46272</v>
      </c>
      <c r="C111" s="4" t="s">
        <v>535</v>
      </c>
      <c r="D111" s="4" t="s">
        <v>844</v>
      </c>
      <c r="E111" s="4" t="s">
        <v>845</v>
      </c>
      <c r="F111" s="7"/>
      <c r="G111" s="6" t="n">
        <v>2.15</v>
      </c>
      <c r="H111" s="6" t="n">
        <v>705.99</v>
      </c>
      <c r="I111" s="7" t="n">
        <f aca="false">ROUND(H110+N(F111)-N(G111)-H111,2)</f>
        <v>0</v>
      </c>
      <c r="J111" s="4" t="s">
        <v>428</v>
      </c>
      <c r="K111" s="4"/>
      <c r="L111" s="4" t="s">
        <v>495</v>
      </c>
      <c r="M111" s="12" t="s">
        <v>429</v>
      </c>
      <c r="N111" s="4" t="s">
        <v>496</v>
      </c>
    </row>
    <row r="112" customFormat="false" ht="22.35" hidden="false" customHeight="false" outlineLevel="0" collapsed="false">
      <c r="A112" s="4" t="n">
        <v>106</v>
      </c>
      <c r="B112" s="5" t="n">
        <v>46273</v>
      </c>
      <c r="C112" s="4" t="s">
        <v>535</v>
      </c>
      <c r="D112" s="4" t="s">
        <v>846</v>
      </c>
      <c r="E112" s="4" t="s">
        <v>847</v>
      </c>
      <c r="F112" s="7"/>
      <c r="G112" s="6" t="n">
        <v>9.28</v>
      </c>
      <c r="H112" s="6" t="n">
        <v>696.71</v>
      </c>
      <c r="I112" s="7" t="n">
        <f aca="false">ROUND(H111+N(F112)-N(G112)-H112,2)</f>
        <v>0</v>
      </c>
      <c r="J112" s="4" t="s">
        <v>428</v>
      </c>
      <c r="K112" s="4"/>
      <c r="L112" s="4" t="s">
        <v>495</v>
      </c>
      <c r="M112" s="12" t="s">
        <v>429</v>
      </c>
      <c r="N112" s="4" t="s">
        <v>496</v>
      </c>
    </row>
    <row r="113" customFormat="false" ht="22.35" hidden="false" customHeight="false" outlineLevel="0" collapsed="false">
      <c r="A113" s="4" t="n">
        <v>107</v>
      </c>
      <c r="B113" s="5" t="n">
        <v>46273</v>
      </c>
      <c r="C113" s="4" t="s">
        <v>535</v>
      </c>
      <c r="D113" s="4" t="s">
        <v>783</v>
      </c>
      <c r="E113" s="4" t="s">
        <v>784</v>
      </c>
      <c r="F113" s="6" t="n">
        <v>1531.82</v>
      </c>
      <c r="G113" s="7"/>
      <c r="H113" s="6" t="n">
        <v>2228.53</v>
      </c>
      <c r="I113" s="7" t="n">
        <f aca="false">ROUND(H112+N(F113)-N(G113)-H113,2)</f>
        <v>0</v>
      </c>
      <c r="J113" s="4" t="s">
        <v>785</v>
      </c>
      <c r="K113" s="4" t="s">
        <v>848</v>
      </c>
      <c r="L113" s="4" t="s">
        <v>787</v>
      </c>
      <c r="M113" s="8" t="s">
        <v>423</v>
      </c>
      <c r="N113" s="4" t="s">
        <v>849</v>
      </c>
    </row>
    <row r="114" customFormat="false" ht="22.35" hidden="false" customHeight="false" outlineLevel="0" collapsed="false">
      <c r="A114" s="4" t="n">
        <v>108</v>
      </c>
      <c r="B114" s="5" t="n">
        <v>46274</v>
      </c>
      <c r="C114" s="4" t="s">
        <v>535</v>
      </c>
      <c r="D114" s="4" t="s">
        <v>850</v>
      </c>
      <c r="E114" s="4" t="s">
        <v>851</v>
      </c>
      <c r="F114" s="7"/>
      <c r="G114" s="6" t="n">
        <v>7.06</v>
      </c>
      <c r="H114" s="6" t="n">
        <v>2221.47</v>
      </c>
      <c r="I114" s="7" t="n">
        <f aca="false">ROUND(H113+N(F114)-N(G114)-H114,2)</f>
        <v>0</v>
      </c>
      <c r="J114" s="4" t="s">
        <v>428</v>
      </c>
      <c r="K114" s="4"/>
      <c r="L114" s="4" t="s">
        <v>495</v>
      </c>
      <c r="M114" s="12" t="s">
        <v>429</v>
      </c>
      <c r="N114" s="4" t="s">
        <v>496</v>
      </c>
    </row>
    <row r="115" customFormat="false" ht="22.35" hidden="false" customHeight="false" outlineLevel="0" collapsed="false">
      <c r="A115" s="4" t="n">
        <v>109</v>
      </c>
      <c r="B115" s="5" t="n">
        <v>46275</v>
      </c>
      <c r="C115" s="4" t="s">
        <v>535</v>
      </c>
      <c r="D115" s="4" t="s">
        <v>852</v>
      </c>
      <c r="E115" s="4" t="s">
        <v>853</v>
      </c>
      <c r="F115" s="7"/>
      <c r="G115" s="6" t="n">
        <v>6.18</v>
      </c>
      <c r="H115" s="6" t="n">
        <v>2215.29</v>
      </c>
      <c r="I115" s="7" t="n">
        <f aca="false">ROUND(H114+N(F115)-N(G115)-H115,2)</f>
        <v>0</v>
      </c>
      <c r="J115" s="4" t="s">
        <v>428</v>
      </c>
      <c r="K115" s="4"/>
      <c r="L115" s="4" t="s">
        <v>495</v>
      </c>
      <c r="M115" s="12" t="s">
        <v>429</v>
      </c>
      <c r="N115" s="4" t="s">
        <v>496</v>
      </c>
    </row>
    <row r="116" customFormat="false" ht="22.35" hidden="false" customHeight="false" outlineLevel="0" collapsed="false">
      <c r="A116" s="4" t="n">
        <v>110</v>
      </c>
      <c r="B116" s="5" t="n">
        <v>46275</v>
      </c>
      <c r="C116" s="4" t="s">
        <v>535</v>
      </c>
      <c r="D116" s="4" t="s">
        <v>854</v>
      </c>
      <c r="E116" s="4" t="s">
        <v>371</v>
      </c>
      <c r="F116" s="7"/>
      <c r="G116" s="6" t="n">
        <v>1000</v>
      </c>
      <c r="H116" s="6" t="n">
        <v>1215.29</v>
      </c>
      <c r="I116" s="7" t="n">
        <f aca="false">ROUND(H115+N(F116)-N(G116)-H116,2)</f>
        <v>0</v>
      </c>
      <c r="J116" s="4" t="s">
        <v>438</v>
      </c>
      <c r="K116" s="4" t="s">
        <v>855</v>
      </c>
      <c r="L116" s="4" t="s">
        <v>196</v>
      </c>
      <c r="M116" s="9" t="s">
        <v>440</v>
      </c>
      <c r="N116" s="4" t="s">
        <v>856</v>
      </c>
    </row>
    <row r="117" customFormat="false" ht="22.35" hidden="false" customHeight="false" outlineLevel="0" collapsed="false">
      <c r="A117" s="4" t="n">
        <v>111</v>
      </c>
      <c r="B117" s="5" t="n">
        <v>46276</v>
      </c>
      <c r="C117" s="4" t="s">
        <v>535</v>
      </c>
      <c r="D117" s="4" t="s">
        <v>857</v>
      </c>
      <c r="E117" s="4" t="s">
        <v>858</v>
      </c>
      <c r="F117" s="7"/>
      <c r="G117" s="6" t="n">
        <v>4.07</v>
      </c>
      <c r="H117" s="6" t="n">
        <v>1211.22</v>
      </c>
      <c r="I117" s="7" t="n">
        <f aca="false">ROUND(H116+N(F117)-N(G117)-H117,2)</f>
        <v>0</v>
      </c>
      <c r="J117" s="4" t="s">
        <v>428</v>
      </c>
      <c r="K117" s="4"/>
      <c r="L117" s="4" t="s">
        <v>495</v>
      </c>
      <c r="M117" s="12" t="s">
        <v>429</v>
      </c>
      <c r="N117" s="4" t="s">
        <v>496</v>
      </c>
    </row>
    <row r="118" customFormat="false" ht="22.35" hidden="false" customHeight="false" outlineLevel="0" collapsed="false">
      <c r="A118" s="4" t="n">
        <v>112</v>
      </c>
      <c r="B118" s="5" t="n">
        <v>46276</v>
      </c>
      <c r="C118" s="4" t="s">
        <v>535</v>
      </c>
      <c r="D118" s="4" t="s">
        <v>708</v>
      </c>
      <c r="E118" s="4" t="s">
        <v>859</v>
      </c>
      <c r="F118" s="7"/>
      <c r="G118" s="6" t="n">
        <v>20.48</v>
      </c>
      <c r="H118" s="6" t="n">
        <v>1190.74</v>
      </c>
      <c r="I118" s="7" t="n">
        <f aca="false">ROUND(H117+N(F118)-N(G118)-H118,2)</f>
        <v>0</v>
      </c>
      <c r="J118" s="4" t="s">
        <v>428</v>
      </c>
      <c r="K118" s="4"/>
      <c r="L118" s="4" t="s">
        <v>152</v>
      </c>
      <c r="M118" s="12" t="s">
        <v>429</v>
      </c>
      <c r="N118" s="4" t="s">
        <v>627</v>
      </c>
    </row>
    <row r="119" customFormat="false" ht="22.35" hidden="false" customHeight="false" outlineLevel="0" collapsed="false">
      <c r="A119" s="4" t="n">
        <v>113</v>
      </c>
      <c r="B119" s="5" t="n">
        <v>46277</v>
      </c>
      <c r="C119" s="4" t="s">
        <v>535</v>
      </c>
      <c r="D119" s="4" t="s">
        <v>860</v>
      </c>
      <c r="E119" s="4" t="s">
        <v>861</v>
      </c>
      <c r="F119" s="7"/>
      <c r="G119" s="6" t="n">
        <v>2.47</v>
      </c>
      <c r="H119" s="6" t="n">
        <v>1188.27</v>
      </c>
      <c r="I119" s="7" t="n">
        <f aca="false">ROUND(H118+N(F119)-N(G119)-H119,2)</f>
        <v>0</v>
      </c>
      <c r="J119" s="4" t="s">
        <v>428</v>
      </c>
      <c r="K119" s="4"/>
      <c r="L119" s="4" t="s">
        <v>495</v>
      </c>
      <c r="M119" s="12" t="s">
        <v>429</v>
      </c>
      <c r="N119" s="4" t="s">
        <v>496</v>
      </c>
    </row>
    <row r="120" customFormat="false" ht="22.35" hidden="false" customHeight="false" outlineLevel="0" collapsed="false">
      <c r="A120" s="4" t="n">
        <v>114</v>
      </c>
      <c r="B120" s="5" t="n">
        <v>46278</v>
      </c>
      <c r="C120" s="4" t="s">
        <v>535</v>
      </c>
      <c r="D120" s="4" t="s">
        <v>862</v>
      </c>
      <c r="E120" s="4" t="s">
        <v>863</v>
      </c>
      <c r="F120" s="7"/>
      <c r="G120" s="6" t="n">
        <v>1.09</v>
      </c>
      <c r="H120" s="6" t="n">
        <v>1187.18</v>
      </c>
      <c r="I120" s="7" t="n">
        <f aca="false">ROUND(H119+N(F120)-N(G120)-H120,2)</f>
        <v>0</v>
      </c>
      <c r="J120" s="4" t="s">
        <v>428</v>
      </c>
      <c r="K120" s="4"/>
      <c r="L120" s="4" t="s">
        <v>495</v>
      </c>
      <c r="M120" s="12" t="s">
        <v>429</v>
      </c>
      <c r="N120" s="4" t="s">
        <v>496</v>
      </c>
    </row>
    <row r="121" customFormat="false" ht="22.35" hidden="false" customHeight="false" outlineLevel="0" collapsed="false">
      <c r="A121" s="4" t="n">
        <v>115</v>
      </c>
      <c r="B121" s="5" t="n">
        <v>46278</v>
      </c>
      <c r="C121" s="4" t="s">
        <v>535</v>
      </c>
      <c r="D121" s="4" t="s">
        <v>729</v>
      </c>
      <c r="E121" s="4" t="s">
        <v>864</v>
      </c>
      <c r="F121" s="7"/>
      <c r="G121" s="6" t="n">
        <v>33.78</v>
      </c>
      <c r="H121" s="6" t="n">
        <v>1153.4</v>
      </c>
      <c r="I121" s="7" t="n">
        <f aca="false">ROUND(H120+N(F121)-N(G121)-H121,2)</f>
        <v>0</v>
      </c>
      <c r="J121" s="4" t="s">
        <v>428</v>
      </c>
      <c r="K121" s="4"/>
      <c r="L121" s="4" t="s">
        <v>152</v>
      </c>
      <c r="M121" s="12" t="s">
        <v>429</v>
      </c>
      <c r="N121" s="4" t="s">
        <v>444</v>
      </c>
    </row>
    <row r="122" customFormat="false" ht="22.35" hidden="false" customHeight="false" outlineLevel="0" collapsed="false">
      <c r="A122" s="4" t="n">
        <v>116</v>
      </c>
      <c r="B122" s="5" t="n">
        <v>46279</v>
      </c>
      <c r="C122" s="4" t="s">
        <v>535</v>
      </c>
      <c r="D122" s="4" t="s">
        <v>865</v>
      </c>
      <c r="E122" s="4" t="s">
        <v>866</v>
      </c>
      <c r="F122" s="7"/>
      <c r="G122" s="6" t="n">
        <v>2.87</v>
      </c>
      <c r="H122" s="6" t="n">
        <v>1150.53</v>
      </c>
      <c r="I122" s="7" t="n">
        <f aca="false">ROUND(H121+N(F122)-N(G122)-H122,2)</f>
        <v>0</v>
      </c>
      <c r="J122" s="4" t="s">
        <v>428</v>
      </c>
      <c r="K122" s="4"/>
      <c r="L122" s="4" t="s">
        <v>495</v>
      </c>
      <c r="M122" s="12" t="s">
        <v>429</v>
      </c>
      <c r="N122" s="4" t="s">
        <v>496</v>
      </c>
    </row>
    <row r="123" customFormat="false" ht="22.35" hidden="false" customHeight="false" outlineLevel="0" collapsed="false">
      <c r="A123" s="4" t="n">
        <v>117</v>
      </c>
      <c r="B123" s="5" t="n">
        <v>46280</v>
      </c>
      <c r="C123" s="4" t="s">
        <v>535</v>
      </c>
      <c r="D123" s="4" t="s">
        <v>867</v>
      </c>
      <c r="E123" s="4" t="s">
        <v>868</v>
      </c>
      <c r="F123" s="7"/>
      <c r="G123" s="6" t="n">
        <v>8.37</v>
      </c>
      <c r="H123" s="6" t="n">
        <v>1142.16</v>
      </c>
      <c r="I123" s="7" t="n">
        <f aca="false">ROUND(H122+N(F123)-N(G123)-H123,2)</f>
        <v>0</v>
      </c>
      <c r="J123" s="4" t="s">
        <v>428</v>
      </c>
      <c r="K123" s="4"/>
      <c r="L123" s="4" t="s">
        <v>495</v>
      </c>
      <c r="M123" s="12" t="s">
        <v>429</v>
      </c>
      <c r="N123" s="4" t="s">
        <v>496</v>
      </c>
    </row>
    <row r="124" customFormat="false" ht="22.35" hidden="false" customHeight="false" outlineLevel="0" collapsed="false">
      <c r="A124" s="4" t="n">
        <v>118</v>
      </c>
      <c r="B124" s="5" t="n">
        <v>46280</v>
      </c>
      <c r="C124" s="4" t="s">
        <v>535</v>
      </c>
      <c r="D124" s="4" t="s">
        <v>869</v>
      </c>
      <c r="E124" s="4" t="s">
        <v>870</v>
      </c>
      <c r="F124" s="7"/>
      <c r="G124" s="6" t="n">
        <v>11.95</v>
      </c>
      <c r="H124" s="6" t="n">
        <v>1130.21</v>
      </c>
      <c r="I124" s="7" t="n">
        <f aca="false">ROUND(H123+N(F124)-N(G124)-H124,2)</f>
        <v>0</v>
      </c>
      <c r="J124" s="4" t="s">
        <v>428</v>
      </c>
      <c r="K124" s="4"/>
      <c r="L124" s="4" t="s">
        <v>495</v>
      </c>
      <c r="M124" s="12" t="s">
        <v>429</v>
      </c>
      <c r="N124" s="4" t="s">
        <v>496</v>
      </c>
    </row>
    <row r="125" customFormat="false" ht="22.35" hidden="false" customHeight="false" outlineLevel="0" collapsed="false">
      <c r="A125" s="4" t="n">
        <v>119</v>
      </c>
      <c r="B125" s="5" t="n">
        <v>46281</v>
      </c>
      <c r="C125" s="4" t="s">
        <v>535</v>
      </c>
      <c r="D125" s="4" t="s">
        <v>871</v>
      </c>
      <c r="E125" s="4" t="s">
        <v>872</v>
      </c>
      <c r="F125" s="7"/>
      <c r="G125" s="6" t="n">
        <v>7.29</v>
      </c>
      <c r="H125" s="6" t="n">
        <v>1122.92</v>
      </c>
      <c r="I125" s="7" t="n">
        <f aca="false">ROUND(H124+N(F125)-N(G125)-H125,2)</f>
        <v>0</v>
      </c>
      <c r="J125" s="4" t="s">
        <v>428</v>
      </c>
      <c r="K125" s="4"/>
      <c r="L125" s="4" t="s">
        <v>495</v>
      </c>
      <c r="M125" s="12" t="s">
        <v>429</v>
      </c>
      <c r="N125" s="4" t="s">
        <v>496</v>
      </c>
    </row>
    <row r="126" customFormat="false" ht="22.35" hidden="false" customHeight="false" outlineLevel="0" collapsed="false">
      <c r="A126" s="4" t="n">
        <v>120</v>
      </c>
      <c r="B126" s="5" t="n">
        <v>46282</v>
      </c>
      <c r="C126" s="4" t="s">
        <v>535</v>
      </c>
      <c r="D126" s="4" t="s">
        <v>873</v>
      </c>
      <c r="E126" s="4" t="s">
        <v>874</v>
      </c>
      <c r="F126" s="7"/>
      <c r="G126" s="6" t="n">
        <v>6.17</v>
      </c>
      <c r="H126" s="6" t="n">
        <v>1116.75</v>
      </c>
      <c r="I126" s="7" t="n">
        <f aca="false">ROUND(H125+N(F126)-N(G126)-H126,2)</f>
        <v>0</v>
      </c>
      <c r="J126" s="4" t="s">
        <v>428</v>
      </c>
      <c r="K126" s="4"/>
      <c r="L126" s="4" t="s">
        <v>495</v>
      </c>
      <c r="M126" s="12" t="s">
        <v>429</v>
      </c>
      <c r="N126" s="4" t="s">
        <v>496</v>
      </c>
    </row>
    <row r="127" customFormat="false" ht="22.35" hidden="false" customHeight="false" outlineLevel="0" collapsed="false">
      <c r="A127" s="4" t="n">
        <v>121</v>
      </c>
      <c r="B127" s="5" t="n">
        <v>46282</v>
      </c>
      <c r="C127" s="4" t="s">
        <v>535</v>
      </c>
      <c r="D127" s="4" t="s">
        <v>875</v>
      </c>
      <c r="E127" s="4" t="s">
        <v>876</v>
      </c>
      <c r="F127" s="7"/>
      <c r="G127" s="6" t="n">
        <v>7.42</v>
      </c>
      <c r="H127" s="6" t="n">
        <v>1109.33</v>
      </c>
      <c r="I127" s="7" t="n">
        <f aca="false">ROUND(H126+N(F127)-N(G127)-H127,2)</f>
        <v>0</v>
      </c>
      <c r="J127" s="4" t="s">
        <v>428</v>
      </c>
      <c r="K127" s="4"/>
      <c r="L127" s="4" t="s">
        <v>152</v>
      </c>
      <c r="M127" s="12" t="s">
        <v>429</v>
      </c>
      <c r="N127" s="4" t="s">
        <v>601</v>
      </c>
    </row>
    <row r="128" customFormat="false" ht="22.35" hidden="false" customHeight="false" outlineLevel="0" collapsed="false">
      <c r="A128" s="4" t="n">
        <v>122</v>
      </c>
      <c r="B128" s="5" t="n">
        <v>46283</v>
      </c>
      <c r="C128" s="4" t="s">
        <v>535</v>
      </c>
      <c r="D128" s="4" t="s">
        <v>877</v>
      </c>
      <c r="E128" s="4" t="s">
        <v>878</v>
      </c>
      <c r="F128" s="7"/>
      <c r="G128" s="6" t="n">
        <v>4.05</v>
      </c>
      <c r="H128" s="6" t="n">
        <v>1105.28</v>
      </c>
      <c r="I128" s="7" t="n">
        <f aca="false">ROUND(H127+N(F128)-N(G128)-H128,2)</f>
        <v>0</v>
      </c>
      <c r="J128" s="4" t="s">
        <v>428</v>
      </c>
      <c r="K128" s="4"/>
      <c r="L128" s="4" t="s">
        <v>495</v>
      </c>
      <c r="M128" s="12" t="s">
        <v>429</v>
      </c>
      <c r="N128" s="4" t="s">
        <v>496</v>
      </c>
    </row>
    <row r="129" customFormat="false" ht="22.35" hidden="false" customHeight="false" outlineLevel="0" collapsed="false">
      <c r="A129" s="4" t="n">
        <v>123</v>
      </c>
      <c r="B129" s="5" t="n">
        <v>46283</v>
      </c>
      <c r="C129" s="4" t="s">
        <v>535</v>
      </c>
      <c r="D129" s="4" t="s">
        <v>879</v>
      </c>
      <c r="E129" s="4" t="s">
        <v>880</v>
      </c>
      <c r="F129" s="7"/>
      <c r="G129" s="6" t="n">
        <v>7.47</v>
      </c>
      <c r="H129" s="6" t="n">
        <v>1097.81</v>
      </c>
      <c r="I129" s="7" t="n">
        <f aca="false">ROUND(H128+N(F129)-N(G129)-H129,2)</f>
        <v>0</v>
      </c>
      <c r="J129" s="4" t="s">
        <v>428</v>
      </c>
      <c r="K129" s="4"/>
      <c r="L129" s="4" t="s">
        <v>152</v>
      </c>
      <c r="M129" s="12" t="s">
        <v>429</v>
      </c>
      <c r="N129" s="4" t="s">
        <v>627</v>
      </c>
    </row>
    <row r="130" customFormat="false" ht="22.35" hidden="false" customHeight="false" outlineLevel="0" collapsed="false">
      <c r="A130" s="4" t="n">
        <v>124</v>
      </c>
      <c r="B130" s="5" t="n">
        <v>46283</v>
      </c>
      <c r="C130" s="4" t="s">
        <v>535</v>
      </c>
      <c r="D130" s="4" t="s">
        <v>879</v>
      </c>
      <c r="E130" s="4" t="s">
        <v>881</v>
      </c>
      <c r="F130" s="7"/>
      <c r="G130" s="6" t="n">
        <v>7.46</v>
      </c>
      <c r="H130" s="6" t="n">
        <v>1090.35</v>
      </c>
      <c r="I130" s="7" t="n">
        <f aca="false">ROUND(H129+N(F130)-N(G130)-H130,2)</f>
        <v>0</v>
      </c>
      <c r="J130" s="4" t="s">
        <v>428</v>
      </c>
      <c r="K130" s="4"/>
      <c r="L130" s="4" t="s">
        <v>152</v>
      </c>
      <c r="M130" s="12" t="s">
        <v>429</v>
      </c>
      <c r="N130" s="4" t="s">
        <v>627</v>
      </c>
    </row>
    <row r="131" customFormat="false" ht="22.35" hidden="false" customHeight="false" outlineLevel="0" collapsed="false">
      <c r="A131" s="4" t="n">
        <v>125</v>
      </c>
      <c r="B131" s="5" t="n">
        <v>46284</v>
      </c>
      <c r="C131" s="4" t="s">
        <v>535</v>
      </c>
      <c r="D131" s="4" t="s">
        <v>882</v>
      </c>
      <c r="E131" s="4" t="s">
        <v>883</v>
      </c>
      <c r="F131" s="7"/>
      <c r="G131" s="6" t="n">
        <v>2.54</v>
      </c>
      <c r="H131" s="6" t="n">
        <v>1087.81</v>
      </c>
      <c r="I131" s="7" t="n">
        <f aca="false">ROUND(H130+N(F131)-N(G131)-H131,2)</f>
        <v>0</v>
      </c>
      <c r="J131" s="4" t="s">
        <v>428</v>
      </c>
      <c r="K131" s="4"/>
      <c r="L131" s="4" t="s">
        <v>495</v>
      </c>
      <c r="M131" s="12" t="s">
        <v>429</v>
      </c>
      <c r="N131" s="4" t="s">
        <v>496</v>
      </c>
    </row>
    <row r="132" customFormat="false" ht="22.35" hidden="false" customHeight="false" outlineLevel="0" collapsed="false">
      <c r="A132" s="4" t="n">
        <v>126</v>
      </c>
      <c r="B132" s="5" t="n">
        <v>46284</v>
      </c>
      <c r="C132" s="4" t="s">
        <v>535</v>
      </c>
      <c r="D132" s="4" t="s">
        <v>884</v>
      </c>
      <c r="E132" s="4" t="s">
        <v>885</v>
      </c>
      <c r="F132" s="7"/>
      <c r="G132" s="6" t="n">
        <v>65.44</v>
      </c>
      <c r="H132" s="6" t="n">
        <v>1022.37</v>
      </c>
      <c r="I132" s="7" t="n">
        <f aca="false">ROUND(H131+N(F132)-N(G132)-H132,2)</f>
        <v>0</v>
      </c>
      <c r="J132" s="4" t="s">
        <v>428</v>
      </c>
      <c r="K132" s="4"/>
      <c r="L132" s="4" t="s">
        <v>495</v>
      </c>
      <c r="M132" s="12" t="s">
        <v>429</v>
      </c>
      <c r="N132" s="4" t="s">
        <v>496</v>
      </c>
    </row>
    <row r="133" customFormat="false" ht="22.35" hidden="false" customHeight="false" outlineLevel="0" collapsed="false">
      <c r="A133" s="4" t="n">
        <v>127</v>
      </c>
      <c r="B133" s="5" t="n">
        <v>46285</v>
      </c>
      <c r="C133" s="4" t="s">
        <v>535</v>
      </c>
      <c r="D133" s="4" t="s">
        <v>886</v>
      </c>
      <c r="E133" s="4" t="s">
        <v>887</v>
      </c>
      <c r="F133" s="7"/>
      <c r="G133" s="6" t="n">
        <v>2.32</v>
      </c>
      <c r="H133" s="6" t="n">
        <v>1020.05</v>
      </c>
      <c r="I133" s="7" t="n">
        <f aca="false">ROUND(H132+N(F133)-N(G133)-H133,2)</f>
        <v>0</v>
      </c>
      <c r="J133" s="4" t="s">
        <v>428</v>
      </c>
      <c r="K133" s="4"/>
      <c r="L133" s="4" t="s">
        <v>495</v>
      </c>
      <c r="M133" s="12" t="s">
        <v>429</v>
      </c>
      <c r="N133" s="4" t="s">
        <v>496</v>
      </c>
    </row>
    <row r="134" customFormat="false" ht="22.35" hidden="false" customHeight="false" outlineLevel="0" collapsed="false">
      <c r="A134" s="4" t="n">
        <v>128</v>
      </c>
      <c r="B134" s="5" t="n">
        <v>46286</v>
      </c>
      <c r="C134" s="4" t="s">
        <v>535</v>
      </c>
      <c r="D134" s="4" t="s">
        <v>888</v>
      </c>
      <c r="E134" s="4" t="s">
        <v>889</v>
      </c>
      <c r="F134" s="7"/>
      <c r="G134" s="6" t="n">
        <v>5.9</v>
      </c>
      <c r="H134" s="6" t="n">
        <v>1014.15</v>
      </c>
      <c r="I134" s="7" t="n">
        <f aca="false">ROUND(H133+N(F134)-N(G134)-H134,2)</f>
        <v>0</v>
      </c>
      <c r="J134" s="4" t="s">
        <v>428</v>
      </c>
      <c r="K134" s="4"/>
      <c r="L134" s="4" t="s">
        <v>495</v>
      </c>
      <c r="M134" s="12" t="s">
        <v>429</v>
      </c>
      <c r="N134" s="4" t="s">
        <v>496</v>
      </c>
    </row>
    <row r="135" customFormat="false" ht="22.35" hidden="false" customHeight="false" outlineLevel="0" collapsed="false">
      <c r="A135" s="4" t="n">
        <v>129</v>
      </c>
      <c r="B135" s="5" t="n">
        <v>46286</v>
      </c>
      <c r="C135" s="4" t="s">
        <v>535</v>
      </c>
      <c r="D135" s="4" t="s">
        <v>773</v>
      </c>
      <c r="E135" s="4" t="s">
        <v>890</v>
      </c>
      <c r="F135" s="7"/>
      <c r="G135" s="6" t="n">
        <v>44.23</v>
      </c>
      <c r="H135" s="6" t="n">
        <v>969.92</v>
      </c>
      <c r="I135" s="7" t="n">
        <f aca="false">ROUND(H134+N(F135)-N(G135)-H135,2)</f>
        <v>0</v>
      </c>
      <c r="J135" s="4" t="s">
        <v>428</v>
      </c>
      <c r="K135" s="4"/>
      <c r="L135" s="4" t="s">
        <v>152</v>
      </c>
      <c r="M135" s="12" t="s">
        <v>429</v>
      </c>
      <c r="N135" s="4" t="s">
        <v>499</v>
      </c>
    </row>
    <row r="136" customFormat="false" ht="22.35" hidden="false" customHeight="false" outlineLevel="0" collapsed="false">
      <c r="A136" s="4" t="n">
        <v>130</v>
      </c>
      <c r="B136" s="5" t="n">
        <v>46287</v>
      </c>
      <c r="C136" s="4" t="s">
        <v>535</v>
      </c>
      <c r="D136" s="4" t="s">
        <v>891</v>
      </c>
      <c r="E136" s="4" t="s">
        <v>892</v>
      </c>
      <c r="F136" s="7"/>
      <c r="G136" s="6" t="n">
        <v>10.96</v>
      </c>
      <c r="H136" s="6" t="n">
        <v>958.96</v>
      </c>
      <c r="I136" s="7" t="n">
        <f aca="false">ROUND(H135+N(F136)-N(G136)-H136,2)</f>
        <v>0</v>
      </c>
      <c r="J136" s="4" t="s">
        <v>428</v>
      </c>
      <c r="K136" s="4"/>
      <c r="L136" s="4" t="s">
        <v>495</v>
      </c>
      <c r="M136" s="12" t="s">
        <v>429</v>
      </c>
      <c r="N136" s="4" t="s">
        <v>496</v>
      </c>
    </row>
    <row r="137" customFormat="false" ht="22.35" hidden="false" customHeight="false" outlineLevel="0" collapsed="false">
      <c r="A137" s="4" t="n">
        <v>131</v>
      </c>
      <c r="B137" s="5" t="n">
        <v>46288</v>
      </c>
      <c r="C137" s="4" t="s">
        <v>535</v>
      </c>
      <c r="D137" s="4" t="s">
        <v>893</v>
      </c>
      <c r="E137" s="4" t="s">
        <v>894</v>
      </c>
      <c r="F137" s="7"/>
      <c r="G137" s="6" t="n">
        <v>9.93</v>
      </c>
      <c r="H137" s="6" t="n">
        <v>949.03</v>
      </c>
      <c r="I137" s="7" t="n">
        <f aca="false">ROUND(H136+N(F137)-N(G137)-H137,2)</f>
        <v>0</v>
      </c>
      <c r="J137" s="4" t="s">
        <v>428</v>
      </c>
      <c r="K137" s="4"/>
      <c r="L137" s="4" t="s">
        <v>495</v>
      </c>
      <c r="M137" s="12" t="s">
        <v>429</v>
      </c>
      <c r="N137" s="4" t="s">
        <v>496</v>
      </c>
    </row>
    <row r="138" customFormat="false" ht="22.35" hidden="false" customHeight="false" outlineLevel="0" collapsed="false">
      <c r="A138" s="4" t="n">
        <v>132</v>
      </c>
      <c r="B138" s="5" t="n">
        <v>46289</v>
      </c>
      <c r="C138" s="4" t="s">
        <v>535</v>
      </c>
      <c r="D138" s="4" t="s">
        <v>895</v>
      </c>
      <c r="E138" s="4" t="s">
        <v>896</v>
      </c>
      <c r="F138" s="7"/>
      <c r="G138" s="6" t="n">
        <v>9.86</v>
      </c>
      <c r="H138" s="6" t="n">
        <v>939.17</v>
      </c>
      <c r="I138" s="7" t="n">
        <f aca="false">ROUND(H137+N(F138)-N(G138)-H138,2)</f>
        <v>0</v>
      </c>
      <c r="J138" s="4" t="s">
        <v>428</v>
      </c>
      <c r="K138" s="4"/>
      <c r="L138" s="4" t="s">
        <v>495</v>
      </c>
      <c r="M138" s="12" t="s">
        <v>429</v>
      </c>
      <c r="N138" s="4" t="s">
        <v>496</v>
      </c>
    </row>
    <row r="139" customFormat="false" ht="22.35" hidden="false" customHeight="false" outlineLevel="0" collapsed="false">
      <c r="A139" s="4" t="n">
        <v>133</v>
      </c>
      <c r="B139" s="5" t="n">
        <v>46290</v>
      </c>
      <c r="C139" s="4" t="s">
        <v>535</v>
      </c>
      <c r="D139" s="4" t="s">
        <v>897</v>
      </c>
      <c r="E139" s="4" t="s">
        <v>898</v>
      </c>
      <c r="F139" s="7"/>
      <c r="G139" s="6" t="n">
        <v>7.02</v>
      </c>
      <c r="H139" s="6" t="n">
        <v>932.15</v>
      </c>
      <c r="I139" s="7" t="n">
        <f aca="false">ROUND(H138+N(F139)-N(G139)-H139,2)</f>
        <v>0</v>
      </c>
      <c r="J139" s="4" t="s">
        <v>428</v>
      </c>
      <c r="K139" s="4"/>
      <c r="L139" s="4" t="s">
        <v>495</v>
      </c>
      <c r="M139" s="12" t="s">
        <v>429</v>
      </c>
      <c r="N139" s="4" t="s">
        <v>496</v>
      </c>
    </row>
    <row r="140" customFormat="false" ht="22.35" hidden="false" customHeight="false" outlineLevel="0" collapsed="false">
      <c r="A140" s="4" t="n">
        <v>134</v>
      </c>
      <c r="B140" s="5" t="n">
        <v>46291</v>
      </c>
      <c r="C140" s="4" t="s">
        <v>535</v>
      </c>
      <c r="D140" s="4" t="s">
        <v>899</v>
      </c>
      <c r="E140" s="4" t="s">
        <v>900</v>
      </c>
      <c r="F140" s="7"/>
      <c r="G140" s="6" t="n">
        <v>5.3</v>
      </c>
      <c r="H140" s="6" t="n">
        <v>926.85</v>
      </c>
      <c r="I140" s="7" t="n">
        <f aca="false">ROUND(H139+N(F140)-N(G140)-H140,2)</f>
        <v>0</v>
      </c>
      <c r="J140" s="4" t="s">
        <v>428</v>
      </c>
      <c r="K140" s="4"/>
      <c r="L140" s="4" t="s">
        <v>495</v>
      </c>
      <c r="M140" s="12" t="s">
        <v>429</v>
      </c>
      <c r="N140" s="4" t="s">
        <v>496</v>
      </c>
    </row>
    <row r="141" customFormat="false" ht="22.35" hidden="false" customHeight="false" outlineLevel="0" collapsed="false">
      <c r="A141" s="4" t="n">
        <v>135</v>
      </c>
      <c r="B141" s="5" t="n">
        <v>46292</v>
      </c>
      <c r="C141" s="4" t="s">
        <v>535</v>
      </c>
      <c r="D141" s="4" t="s">
        <v>901</v>
      </c>
      <c r="E141" s="4" t="s">
        <v>902</v>
      </c>
      <c r="F141" s="7"/>
      <c r="G141" s="6" t="n">
        <v>367.93</v>
      </c>
      <c r="H141" s="6" t="n">
        <v>558.92</v>
      </c>
      <c r="I141" s="7" t="n">
        <f aca="false">ROUND(H140+N(F141)-N(G141)-H141,2)</f>
        <v>0</v>
      </c>
      <c r="J141" s="4" t="s">
        <v>903</v>
      </c>
      <c r="K141" s="4" t="s">
        <v>817</v>
      </c>
      <c r="L141" s="4" t="s">
        <v>163</v>
      </c>
      <c r="M141" s="8" t="s">
        <v>423</v>
      </c>
      <c r="N141" s="4" t="s">
        <v>904</v>
      </c>
    </row>
    <row r="142" customFormat="false" ht="22.35" hidden="false" customHeight="false" outlineLevel="0" collapsed="false">
      <c r="A142" s="4" t="n">
        <v>136</v>
      </c>
      <c r="B142" s="5" t="n">
        <v>46292</v>
      </c>
      <c r="C142" s="4" t="s">
        <v>535</v>
      </c>
      <c r="D142" s="4" t="s">
        <v>905</v>
      </c>
      <c r="E142" s="4" t="s">
        <v>906</v>
      </c>
      <c r="F142" s="7"/>
      <c r="G142" s="6" t="n">
        <v>2.98</v>
      </c>
      <c r="H142" s="6" t="n">
        <v>555.94</v>
      </c>
      <c r="I142" s="7" t="n">
        <f aca="false">ROUND(H141+N(F142)-N(G142)-H142,2)</f>
        <v>0</v>
      </c>
      <c r="J142" s="4" t="s">
        <v>428</v>
      </c>
      <c r="K142" s="4"/>
      <c r="L142" s="4" t="s">
        <v>495</v>
      </c>
      <c r="M142" s="12" t="s">
        <v>429</v>
      </c>
      <c r="N142" s="4" t="s">
        <v>496</v>
      </c>
    </row>
    <row r="143" customFormat="false" ht="22.35" hidden="false" customHeight="false" outlineLevel="0" collapsed="false">
      <c r="A143" s="4" t="n">
        <v>137</v>
      </c>
      <c r="B143" s="5" t="n">
        <v>46292</v>
      </c>
      <c r="C143" s="4" t="s">
        <v>535</v>
      </c>
      <c r="D143" s="4" t="s">
        <v>901</v>
      </c>
      <c r="E143" s="4" t="s">
        <v>902</v>
      </c>
      <c r="F143" s="6" t="n">
        <v>367.93</v>
      </c>
      <c r="G143" s="7"/>
      <c r="H143" s="6" t="n">
        <v>923.87</v>
      </c>
      <c r="I143" s="7" t="n">
        <f aca="false">ROUND(H142+N(F143)-N(G143)-H143,2)</f>
        <v>0</v>
      </c>
      <c r="J143" s="4" t="s">
        <v>903</v>
      </c>
      <c r="K143" s="4" t="s">
        <v>817</v>
      </c>
      <c r="L143" s="4" t="s">
        <v>163</v>
      </c>
      <c r="M143" s="8" t="s">
        <v>423</v>
      </c>
      <c r="N143" s="4" t="s">
        <v>904</v>
      </c>
    </row>
    <row r="144" customFormat="false" ht="22.35" hidden="false" customHeight="false" outlineLevel="0" collapsed="false">
      <c r="A144" s="4" t="n">
        <v>138</v>
      </c>
      <c r="B144" s="5" t="n">
        <v>46294</v>
      </c>
      <c r="C144" s="4" t="s">
        <v>535</v>
      </c>
      <c r="D144" s="4" t="s">
        <v>907</v>
      </c>
      <c r="E144" s="4" t="s">
        <v>908</v>
      </c>
      <c r="F144" s="7"/>
      <c r="G144" s="6" t="n">
        <v>3.4</v>
      </c>
      <c r="H144" s="6" t="n">
        <v>920.47</v>
      </c>
      <c r="I144" s="7" t="n">
        <f aca="false">ROUND(H143+N(F144)-N(G144)-H144,2)</f>
        <v>0</v>
      </c>
      <c r="J144" s="4" t="s">
        <v>428</v>
      </c>
      <c r="K144" s="4"/>
      <c r="L144" s="4" t="s">
        <v>495</v>
      </c>
      <c r="M144" s="12" t="s">
        <v>429</v>
      </c>
      <c r="N144" s="4" t="s">
        <v>496</v>
      </c>
    </row>
    <row r="145" customFormat="false" ht="22.35" hidden="false" customHeight="false" outlineLevel="0" collapsed="false">
      <c r="A145" s="4" t="n">
        <v>139</v>
      </c>
      <c r="B145" s="5" t="n">
        <v>46295</v>
      </c>
      <c r="C145" s="4" t="s">
        <v>535</v>
      </c>
      <c r="D145" s="4" t="s">
        <v>909</v>
      </c>
      <c r="E145" s="4" t="s">
        <v>910</v>
      </c>
      <c r="F145" s="7"/>
      <c r="G145" s="6" t="n">
        <v>8.21</v>
      </c>
      <c r="H145" s="6" t="n">
        <v>912.26</v>
      </c>
      <c r="I145" s="7" t="n">
        <f aca="false">ROUND(H144+N(F145)-N(G145)-H145,2)</f>
        <v>0</v>
      </c>
      <c r="J145" s="4" t="s">
        <v>428</v>
      </c>
      <c r="K145" s="4"/>
      <c r="L145" s="4" t="s">
        <v>495</v>
      </c>
      <c r="M145" s="12" t="s">
        <v>429</v>
      </c>
      <c r="N145" s="4" t="s">
        <v>496</v>
      </c>
    </row>
    <row r="146" customFormat="false" ht="22.35" hidden="false" customHeight="false" outlineLevel="0" collapsed="false">
      <c r="A146" s="4" t="n">
        <v>140</v>
      </c>
      <c r="B146" s="5" t="n">
        <v>46295</v>
      </c>
      <c r="C146" s="4" t="s">
        <v>535</v>
      </c>
      <c r="D146" s="4" t="s">
        <v>792</v>
      </c>
      <c r="E146" s="4" t="s">
        <v>911</v>
      </c>
      <c r="F146" s="7"/>
      <c r="G146" s="6" t="n">
        <v>89.69</v>
      </c>
      <c r="H146" s="6" t="n">
        <v>822.57</v>
      </c>
      <c r="I146" s="7" t="n">
        <f aca="false">ROUND(H145+N(F146)-N(G146)-H146,2)</f>
        <v>0</v>
      </c>
      <c r="J146" s="4" t="s">
        <v>428</v>
      </c>
      <c r="K146" s="4"/>
      <c r="L146" s="4" t="s">
        <v>152</v>
      </c>
      <c r="M146" s="12" t="s">
        <v>429</v>
      </c>
      <c r="N146" s="4" t="s">
        <v>794</v>
      </c>
    </row>
    <row r="147" customFormat="false" ht="22.35" hidden="false" customHeight="false" outlineLevel="0" collapsed="false">
      <c r="A147" s="4" t="n">
        <v>141</v>
      </c>
      <c r="B147" s="5" t="n">
        <v>46295</v>
      </c>
      <c r="C147" s="4" t="s">
        <v>535</v>
      </c>
      <c r="D147" s="4" t="s">
        <v>912</v>
      </c>
      <c r="E147" s="4" t="s">
        <v>913</v>
      </c>
      <c r="F147" s="7"/>
      <c r="G147" s="6" t="n">
        <v>41.22</v>
      </c>
      <c r="H147" s="6" t="n">
        <v>781.35</v>
      </c>
      <c r="I147" s="7" t="n">
        <f aca="false">ROUND(H146+N(F147)-N(G147)-H147,2)</f>
        <v>0</v>
      </c>
      <c r="J147" s="4" t="s">
        <v>428</v>
      </c>
      <c r="K147" s="4"/>
      <c r="L147" s="4" t="s">
        <v>163</v>
      </c>
      <c r="M147" s="12" t="s">
        <v>429</v>
      </c>
      <c r="N147" s="4" t="s">
        <v>548</v>
      </c>
    </row>
    <row r="148" customFormat="false" ht="22.35" hidden="false" customHeight="false" outlineLevel="0" collapsed="false">
      <c r="A148" s="4" t="n">
        <v>142</v>
      </c>
      <c r="B148" s="5" t="n">
        <v>46295</v>
      </c>
      <c r="C148" s="4" t="s">
        <v>535</v>
      </c>
      <c r="D148" s="4" t="s">
        <v>914</v>
      </c>
      <c r="E148" s="4" t="s">
        <v>915</v>
      </c>
      <c r="F148" s="7"/>
      <c r="G148" s="6" t="n">
        <v>262.03</v>
      </c>
      <c r="H148" s="6" t="n">
        <v>519.32</v>
      </c>
      <c r="I148" s="7" t="n">
        <f aca="false">ROUND(H147+N(F148)-N(G148)-H148,2)</f>
        <v>0</v>
      </c>
      <c r="J148" s="4" t="s">
        <v>428</v>
      </c>
      <c r="K148" s="4"/>
      <c r="L148" s="4" t="s">
        <v>163</v>
      </c>
      <c r="M148" s="12" t="s">
        <v>429</v>
      </c>
      <c r="N148" s="4" t="s">
        <v>548</v>
      </c>
    </row>
    <row r="149" customFormat="false" ht="22.35" hidden="false" customHeight="false" outlineLevel="0" collapsed="false">
      <c r="A149" s="4" t="n">
        <v>143</v>
      </c>
      <c r="B149" s="5" t="n">
        <v>46295</v>
      </c>
      <c r="C149" s="4" t="s">
        <v>535</v>
      </c>
      <c r="D149" s="4" t="s">
        <v>916</v>
      </c>
      <c r="E149" s="4" t="s">
        <v>83</v>
      </c>
      <c r="F149" s="6" t="n">
        <v>1345.17</v>
      </c>
      <c r="G149" s="7"/>
      <c r="H149" s="6" t="n">
        <v>1864.49</v>
      </c>
      <c r="I149" s="7" t="n">
        <f aca="false">ROUND(H148+N(F149)-N(G149)-H149,2)</f>
        <v>0</v>
      </c>
      <c r="J149" s="4" t="s">
        <v>631</v>
      </c>
      <c r="K149" s="4" t="s">
        <v>917</v>
      </c>
      <c r="L149" s="4" t="s">
        <v>597</v>
      </c>
      <c r="M149" s="10" t="s">
        <v>60</v>
      </c>
      <c r="N149" s="4" t="s">
        <v>756</v>
      </c>
    </row>
    <row r="150" customFormat="false" ht="22.35" hidden="false" customHeight="false" outlineLevel="0" collapsed="false">
      <c r="A150" s="4" t="n">
        <v>144</v>
      </c>
      <c r="B150" s="5" t="n">
        <v>46295</v>
      </c>
      <c r="C150" s="4" t="s">
        <v>535</v>
      </c>
      <c r="D150" s="4" t="s">
        <v>918</v>
      </c>
      <c r="E150" s="4" t="s">
        <v>919</v>
      </c>
      <c r="F150" s="7"/>
      <c r="G150" s="6" t="n">
        <v>55.71</v>
      </c>
      <c r="H150" s="6" t="n">
        <v>1808.78</v>
      </c>
      <c r="I150" s="7" t="n">
        <f aca="false">ROUND(H149+N(F150)-N(G150)-H150,2)</f>
        <v>0</v>
      </c>
      <c r="J150" s="4" t="s">
        <v>903</v>
      </c>
      <c r="K150" s="4" t="s">
        <v>817</v>
      </c>
      <c r="L150" s="4" t="s">
        <v>163</v>
      </c>
      <c r="M150" s="8" t="s">
        <v>423</v>
      </c>
      <c r="N150" s="4" t="s">
        <v>920</v>
      </c>
    </row>
    <row r="151" customFormat="false" ht="22.35" hidden="false" customHeight="false" outlineLevel="0" collapsed="false">
      <c r="A151" s="4" t="n">
        <v>145</v>
      </c>
      <c r="B151" s="5" t="n">
        <v>46295</v>
      </c>
      <c r="C151" s="4" t="s">
        <v>535</v>
      </c>
      <c r="D151" s="4" t="s">
        <v>918</v>
      </c>
      <c r="E151" s="4" t="s">
        <v>919</v>
      </c>
      <c r="F151" s="6" t="n">
        <v>55.71</v>
      </c>
      <c r="G151" s="7"/>
      <c r="H151" s="6" t="n">
        <v>1864.49</v>
      </c>
      <c r="I151" s="7" t="n">
        <f aca="false">ROUND(H150+N(F151)-N(G151)-H151,2)</f>
        <v>0</v>
      </c>
      <c r="J151" s="4" t="s">
        <v>903</v>
      </c>
      <c r="K151" s="4" t="s">
        <v>817</v>
      </c>
      <c r="L151" s="4" t="s">
        <v>163</v>
      </c>
      <c r="M151" s="8" t="s">
        <v>423</v>
      </c>
      <c r="N151" s="4" t="s">
        <v>920</v>
      </c>
    </row>
    <row r="152" customFormat="false" ht="22.35" hidden="false" customHeight="false" outlineLevel="0" collapsed="false">
      <c r="A152" s="4" t="n">
        <v>146</v>
      </c>
      <c r="B152" s="5" t="n">
        <v>46295</v>
      </c>
      <c r="C152" s="4" t="s">
        <v>535</v>
      </c>
      <c r="D152" s="4" t="s">
        <v>921</v>
      </c>
      <c r="E152" s="4" t="s">
        <v>922</v>
      </c>
      <c r="F152" s="7"/>
      <c r="G152" s="6" t="n">
        <v>98.09</v>
      </c>
      <c r="H152" s="6" t="n">
        <v>1766.4</v>
      </c>
      <c r="I152" s="7" t="n">
        <f aca="false">ROUND(H151+N(F152)-N(G152)-H152,2)</f>
        <v>0</v>
      </c>
      <c r="J152" s="4" t="s">
        <v>428</v>
      </c>
      <c r="K152" s="4"/>
      <c r="L152" s="4" t="s">
        <v>163</v>
      </c>
      <c r="M152" s="12" t="s">
        <v>429</v>
      </c>
      <c r="N152" s="4" t="s">
        <v>548</v>
      </c>
    </row>
    <row r="153" customFormat="false" ht="22.35" hidden="false" customHeight="false" outlineLevel="0" collapsed="false">
      <c r="D153" s="13" t="s">
        <v>553</v>
      </c>
      <c r="F153" s="14" t="n">
        <f aca="false">SUM(F7:F152)</f>
        <v>30021.05</v>
      </c>
      <c r="G153" s="14" t="n">
        <f aca="false">SUM(G7:G152)</f>
        <v>29917.14</v>
      </c>
      <c r="H153" s="14" t="n">
        <f aca="false">H6+F153-G153</f>
        <v>1766.4</v>
      </c>
      <c r="I153" s="14" t="n">
        <f aca="false">ROUND(H153-H152,2)</f>
        <v>0</v>
      </c>
      <c r="J153" s="13" t="s">
        <v>554</v>
      </c>
      <c r="K153" s="15" t="n">
        <v>1766.4</v>
      </c>
    </row>
  </sheetData>
  <autoFilter ref="A5:N152"/>
  <conditionalFormatting sqref="I7:I153">
    <cfRule type="cellIs" priority="2" operator="not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34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55"/>
  </cols>
  <sheetData>
    <row r="1" customFormat="false" ht="16.15" hidden="false" customHeight="false" outlineLevel="0" collapsed="false">
      <c r="A1" s="1" t="s">
        <v>923</v>
      </c>
    </row>
    <row r="2" customFormat="false" ht="15" hidden="false" customHeight="false" outlineLevel="0" collapsed="false">
      <c r="A2" s="2" t="s">
        <v>924</v>
      </c>
    </row>
    <row r="3" customFormat="false" ht="15" hidden="false" customHeight="false" outlineLevel="0" collapsed="false">
      <c r="A3" s="2" t="s">
        <v>406</v>
      </c>
    </row>
    <row r="5" customFormat="false" ht="42" hidden="false" customHeight="true" outlineLevel="0" collapsed="false">
      <c r="A5" s="3" t="s">
        <v>4</v>
      </c>
      <c r="B5" s="3" t="s">
        <v>407</v>
      </c>
      <c r="C5" s="3" t="s">
        <v>408</v>
      </c>
      <c r="D5" s="3" t="s">
        <v>409</v>
      </c>
      <c r="E5" s="3" t="s">
        <v>410</v>
      </c>
      <c r="F5" s="3" t="s">
        <v>557</v>
      </c>
      <c r="G5" s="3" t="s">
        <v>558</v>
      </c>
      <c r="H5" s="3" t="s">
        <v>559</v>
      </c>
      <c r="I5" s="3" t="s">
        <v>414</v>
      </c>
      <c r="J5" s="3" t="s">
        <v>415</v>
      </c>
      <c r="K5" s="3" t="s">
        <v>416</v>
      </c>
      <c r="L5" s="3" t="s">
        <v>140</v>
      </c>
      <c r="M5" s="3" t="s">
        <v>417</v>
      </c>
      <c r="N5" s="3" t="s">
        <v>23</v>
      </c>
    </row>
    <row r="6" customFormat="false" ht="15" hidden="false" customHeight="false" outlineLevel="0" collapsed="false">
      <c r="D6" s="13" t="s">
        <v>418</v>
      </c>
      <c r="H6" s="15" t="n">
        <v>0</v>
      </c>
    </row>
    <row r="7" customFormat="false" ht="32.8" hidden="false" customHeight="false" outlineLevel="0" collapsed="false">
      <c r="A7" s="4" t="n">
        <v>1</v>
      </c>
      <c r="B7" s="5" t="n">
        <v>46043</v>
      </c>
      <c r="C7" s="4" t="s">
        <v>419</v>
      </c>
      <c r="D7" s="4" t="s">
        <v>925</v>
      </c>
      <c r="E7" s="4" t="s">
        <v>926</v>
      </c>
      <c r="F7" s="6" t="n">
        <v>3682.94</v>
      </c>
      <c r="G7" s="7"/>
      <c r="H7" s="6" t="n">
        <v>3682.94</v>
      </c>
      <c r="I7" s="7" t="n">
        <f aca="false">ROUND(H6+N(F7)-N(G7)-H7,2)</f>
        <v>0</v>
      </c>
      <c r="J7" s="4" t="s">
        <v>927</v>
      </c>
      <c r="K7" s="4"/>
      <c r="L7" s="4" t="s">
        <v>928</v>
      </c>
      <c r="M7" s="8" t="s">
        <v>423</v>
      </c>
      <c r="N7" s="4" t="s">
        <v>929</v>
      </c>
    </row>
    <row r="8" customFormat="false" ht="22.35" hidden="false" customHeight="false" outlineLevel="0" collapsed="false">
      <c r="A8" s="4" t="n">
        <v>2</v>
      </c>
      <c r="B8" s="5" t="n">
        <v>46050</v>
      </c>
      <c r="C8" s="4" t="s">
        <v>419</v>
      </c>
      <c r="D8" s="4" t="s">
        <v>611</v>
      </c>
      <c r="E8" s="4" t="s">
        <v>612</v>
      </c>
      <c r="F8" s="6" t="n">
        <v>4510.68</v>
      </c>
      <c r="G8" s="7"/>
      <c r="H8" s="6" t="n">
        <v>8193.62</v>
      </c>
      <c r="I8" s="7" t="n">
        <f aca="false">ROUND(H7+N(F8)-N(G8)-H8,2)</f>
        <v>0</v>
      </c>
      <c r="J8" s="4" t="s">
        <v>613</v>
      </c>
      <c r="K8" s="4" t="s">
        <v>930</v>
      </c>
      <c r="L8" s="4" t="s">
        <v>508</v>
      </c>
      <c r="M8" s="8" t="s">
        <v>423</v>
      </c>
      <c r="N8" s="4" t="s">
        <v>931</v>
      </c>
    </row>
    <row r="9" customFormat="false" ht="22.35" hidden="false" customHeight="false" outlineLevel="0" collapsed="false">
      <c r="A9" s="4" t="n">
        <v>3</v>
      </c>
      <c r="B9" s="5" t="n">
        <v>46050</v>
      </c>
      <c r="C9" s="4" t="s">
        <v>419</v>
      </c>
      <c r="D9" s="4" t="s">
        <v>649</v>
      </c>
      <c r="E9" s="4" t="s">
        <v>932</v>
      </c>
      <c r="F9" s="7"/>
      <c r="G9" s="6" t="n">
        <v>5008.54</v>
      </c>
      <c r="H9" s="6" t="n">
        <v>3185.08</v>
      </c>
      <c r="I9" s="7" t="n">
        <f aca="false">ROUND(H8+N(F9)-N(G9)-H9,2)</f>
        <v>0</v>
      </c>
      <c r="J9" s="4" t="s">
        <v>576</v>
      </c>
      <c r="K9" s="4" t="s">
        <v>577</v>
      </c>
      <c r="L9" s="4" t="s">
        <v>578</v>
      </c>
      <c r="M9" s="8" t="s">
        <v>423</v>
      </c>
      <c r="N9" s="4" t="s">
        <v>933</v>
      </c>
    </row>
    <row r="10" customFormat="false" ht="22.35" hidden="false" customHeight="false" outlineLevel="0" collapsed="false">
      <c r="A10" s="4" t="n">
        <v>4</v>
      </c>
      <c r="B10" s="5" t="n">
        <v>46052</v>
      </c>
      <c r="C10" s="4" t="s">
        <v>419</v>
      </c>
      <c r="D10" s="4" t="s">
        <v>934</v>
      </c>
      <c r="E10" s="4" t="s">
        <v>935</v>
      </c>
      <c r="F10" s="7"/>
      <c r="G10" s="6" t="n">
        <v>33.99</v>
      </c>
      <c r="H10" s="6" t="n">
        <v>3151.09</v>
      </c>
      <c r="I10" s="7" t="n">
        <f aca="false">ROUND(H9+N(F10)-N(G10)-H10,2)</f>
        <v>0</v>
      </c>
      <c r="J10" s="4" t="s">
        <v>428</v>
      </c>
      <c r="K10" s="4"/>
      <c r="L10" s="4" t="s">
        <v>152</v>
      </c>
      <c r="M10" s="12" t="s">
        <v>429</v>
      </c>
      <c r="N10" s="4" t="s">
        <v>936</v>
      </c>
    </row>
    <row r="11" customFormat="false" ht="22.35" hidden="false" customHeight="false" outlineLevel="0" collapsed="false">
      <c r="A11" s="4" t="n">
        <v>5</v>
      </c>
      <c r="B11" s="5" t="n">
        <v>46054</v>
      </c>
      <c r="C11" s="4" t="s">
        <v>455</v>
      </c>
      <c r="D11" s="4" t="s">
        <v>937</v>
      </c>
      <c r="E11" s="4" t="s">
        <v>938</v>
      </c>
      <c r="F11" s="7"/>
      <c r="G11" s="6" t="n">
        <v>304.8</v>
      </c>
      <c r="H11" s="6" t="n">
        <v>2846.29</v>
      </c>
      <c r="I11" s="7" t="n">
        <f aca="false">ROUND(H10+N(F11)-N(G11)-H11,2)</f>
        <v>0</v>
      </c>
      <c r="J11" s="4" t="s">
        <v>428</v>
      </c>
      <c r="K11" s="4"/>
      <c r="L11" s="4" t="s">
        <v>152</v>
      </c>
      <c r="M11" s="12" t="s">
        <v>429</v>
      </c>
      <c r="N11" s="4" t="s">
        <v>517</v>
      </c>
    </row>
    <row r="12" customFormat="false" ht="22.35" hidden="false" customHeight="false" outlineLevel="0" collapsed="false">
      <c r="A12" s="4" t="n">
        <v>6</v>
      </c>
      <c r="B12" s="5" t="n">
        <v>46062</v>
      </c>
      <c r="C12" s="4" t="s">
        <v>455</v>
      </c>
      <c r="D12" s="4" t="s">
        <v>939</v>
      </c>
      <c r="E12" s="4" t="s">
        <v>940</v>
      </c>
      <c r="F12" s="7"/>
      <c r="G12" s="6" t="n">
        <v>516.73</v>
      </c>
      <c r="H12" s="6" t="n">
        <v>2329.56</v>
      </c>
      <c r="I12" s="7" t="n">
        <f aca="false">ROUND(H11+N(F12)-N(G12)-H12,2)</f>
        <v>0</v>
      </c>
      <c r="J12" s="4" t="s">
        <v>428</v>
      </c>
      <c r="K12" s="4"/>
      <c r="L12" s="4" t="s">
        <v>941</v>
      </c>
      <c r="M12" s="10" t="s">
        <v>60</v>
      </c>
      <c r="N12" s="4" t="s">
        <v>942</v>
      </c>
    </row>
    <row r="13" customFormat="false" ht="22.35" hidden="false" customHeight="false" outlineLevel="0" collapsed="false">
      <c r="A13" s="4" t="n">
        <v>7</v>
      </c>
      <c r="B13" s="5" t="n">
        <v>46065</v>
      </c>
      <c r="C13" s="4" t="s">
        <v>455</v>
      </c>
      <c r="D13" s="4" t="s">
        <v>675</v>
      </c>
      <c r="E13" s="4" t="s">
        <v>228</v>
      </c>
      <c r="F13" s="7"/>
      <c r="G13" s="6" t="n">
        <v>92.2</v>
      </c>
      <c r="H13" s="6" t="n">
        <v>2237.36</v>
      </c>
      <c r="I13" s="7" t="n">
        <f aca="false">ROUND(H12+N(F13)-N(G13)-H13,2)</f>
        <v>0</v>
      </c>
      <c r="J13" s="4" t="s">
        <v>438</v>
      </c>
      <c r="K13" s="4" t="s">
        <v>943</v>
      </c>
      <c r="L13" s="4" t="s">
        <v>183</v>
      </c>
      <c r="M13" s="9" t="s">
        <v>440</v>
      </c>
      <c r="N13" s="4" t="s">
        <v>944</v>
      </c>
    </row>
    <row r="14" customFormat="false" ht="22.35" hidden="false" customHeight="false" outlineLevel="0" collapsed="false">
      <c r="A14" s="4" t="n">
        <v>8</v>
      </c>
      <c r="B14" s="5" t="n">
        <v>46065</v>
      </c>
      <c r="C14" s="4" t="s">
        <v>455</v>
      </c>
      <c r="D14" s="4" t="s">
        <v>675</v>
      </c>
      <c r="E14" s="4" t="s">
        <v>222</v>
      </c>
      <c r="F14" s="7"/>
      <c r="G14" s="6" t="n">
        <v>66.05</v>
      </c>
      <c r="H14" s="6" t="n">
        <v>2171.31</v>
      </c>
      <c r="I14" s="7" t="n">
        <f aca="false">ROUND(H13+N(F14)-N(G14)-H14,2)</f>
        <v>0</v>
      </c>
      <c r="J14" s="4" t="s">
        <v>438</v>
      </c>
      <c r="K14" s="4" t="s">
        <v>945</v>
      </c>
      <c r="L14" s="4" t="s">
        <v>183</v>
      </c>
      <c r="M14" s="9" t="s">
        <v>440</v>
      </c>
      <c r="N14" s="4" t="s">
        <v>944</v>
      </c>
    </row>
    <row r="15" customFormat="false" ht="22.35" hidden="false" customHeight="false" outlineLevel="0" collapsed="false">
      <c r="A15" s="4" t="n">
        <v>9</v>
      </c>
      <c r="B15" s="5" t="n">
        <v>46070</v>
      </c>
      <c r="C15" s="4" t="s">
        <v>455</v>
      </c>
      <c r="D15" s="4" t="s">
        <v>946</v>
      </c>
      <c r="E15" s="4" t="s">
        <v>947</v>
      </c>
      <c r="F15" s="7"/>
      <c r="G15" s="6" t="n">
        <v>49.49</v>
      </c>
      <c r="H15" s="6" t="n">
        <v>2121.82</v>
      </c>
      <c r="I15" s="7" t="n">
        <f aca="false">ROUND(H14+N(F15)-N(G15)-H15,2)</f>
        <v>0</v>
      </c>
      <c r="J15" s="4" t="s">
        <v>428</v>
      </c>
      <c r="K15" s="4"/>
      <c r="L15" s="4" t="s">
        <v>152</v>
      </c>
      <c r="M15" s="12" t="s">
        <v>429</v>
      </c>
      <c r="N15" s="4" t="s">
        <v>601</v>
      </c>
    </row>
    <row r="16" customFormat="false" ht="32.8" hidden="false" customHeight="false" outlineLevel="0" collapsed="false">
      <c r="A16" s="4" t="n">
        <v>10</v>
      </c>
      <c r="B16" s="5" t="n">
        <v>46071</v>
      </c>
      <c r="C16" s="4" t="s">
        <v>455</v>
      </c>
      <c r="D16" s="4" t="s">
        <v>948</v>
      </c>
      <c r="E16" s="4" t="s">
        <v>949</v>
      </c>
      <c r="F16" s="7"/>
      <c r="G16" s="6" t="n">
        <v>1231.65</v>
      </c>
      <c r="H16" s="6" t="n">
        <v>890.17</v>
      </c>
      <c r="I16" s="7" t="n">
        <f aca="false">ROUND(H15+N(F16)-N(G16)-H16,2)</f>
        <v>0</v>
      </c>
      <c r="J16" s="4" t="s">
        <v>950</v>
      </c>
      <c r="K16" s="4" t="s">
        <v>951</v>
      </c>
      <c r="L16" s="4" t="s">
        <v>952</v>
      </c>
      <c r="M16" s="10" t="s">
        <v>60</v>
      </c>
      <c r="N16" s="4" t="s">
        <v>953</v>
      </c>
    </row>
    <row r="17" customFormat="false" ht="22.35" hidden="false" customHeight="false" outlineLevel="0" collapsed="false">
      <c r="A17" s="4" t="n">
        <v>11</v>
      </c>
      <c r="B17" s="5" t="n">
        <v>46072</v>
      </c>
      <c r="C17" s="4" t="s">
        <v>455</v>
      </c>
      <c r="D17" s="4" t="s">
        <v>954</v>
      </c>
      <c r="E17" s="4" t="s">
        <v>955</v>
      </c>
      <c r="F17" s="7"/>
      <c r="G17" s="6" t="n">
        <v>125.54</v>
      </c>
      <c r="H17" s="6" t="n">
        <v>764.63</v>
      </c>
      <c r="I17" s="7" t="n">
        <f aca="false">ROUND(H16+N(F17)-N(G17)-H17,2)</f>
        <v>0</v>
      </c>
      <c r="J17" s="4" t="s">
        <v>428</v>
      </c>
      <c r="K17" s="4"/>
      <c r="L17" s="4" t="s">
        <v>495</v>
      </c>
      <c r="M17" s="12" t="s">
        <v>429</v>
      </c>
      <c r="N17" s="4" t="s">
        <v>496</v>
      </c>
    </row>
    <row r="18" customFormat="false" ht="22.35" hidden="false" customHeight="false" outlineLevel="0" collapsed="false">
      <c r="A18" s="4" t="n">
        <v>12</v>
      </c>
      <c r="B18" s="5" t="n">
        <v>46074</v>
      </c>
      <c r="C18" s="4" t="s">
        <v>455</v>
      </c>
      <c r="D18" s="4" t="s">
        <v>608</v>
      </c>
      <c r="E18" s="4" t="s">
        <v>239</v>
      </c>
      <c r="F18" s="7"/>
      <c r="G18" s="6" t="n">
        <v>294.08</v>
      </c>
      <c r="H18" s="6" t="n">
        <v>470.55</v>
      </c>
      <c r="I18" s="7" t="n">
        <f aca="false">ROUND(H17+N(F18)-N(G18)-H18,2)</f>
        <v>0</v>
      </c>
      <c r="J18" s="4" t="s">
        <v>438</v>
      </c>
      <c r="K18" s="4" t="s">
        <v>956</v>
      </c>
      <c r="L18" s="4" t="s">
        <v>152</v>
      </c>
      <c r="M18" s="9" t="s">
        <v>440</v>
      </c>
      <c r="N18" s="4" t="s">
        <v>610</v>
      </c>
    </row>
    <row r="19" customFormat="false" ht="22.35" hidden="false" customHeight="false" outlineLevel="0" collapsed="false">
      <c r="A19" s="4" t="n">
        <v>13</v>
      </c>
      <c r="B19" s="5" t="n">
        <v>46079</v>
      </c>
      <c r="C19" s="4" t="s">
        <v>455</v>
      </c>
      <c r="D19" s="4" t="s">
        <v>957</v>
      </c>
      <c r="E19" s="4" t="s">
        <v>245</v>
      </c>
      <c r="F19" s="7"/>
      <c r="G19" s="6" t="n">
        <v>20.81</v>
      </c>
      <c r="H19" s="6" t="n">
        <v>449.74</v>
      </c>
      <c r="I19" s="7" t="n">
        <f aca="false">ROUND(H18+N(F19)-N(G19)-H19,2)</f>
        <v>0</v>
      </c>
      <c r="J19" s="4" t="s">
        <v>438</v>
      </c>
      <c r="K19" s="4" t="s">
        <v>958</v>
      </c>
      <c r="L19" s="4" t="s">
        <v>152</v>
      </c>
      <c r="M19" s="9" t="s">
        <v>440</v>
      </c>
      <c r="N19" s="4" t="s">
        <v>959</v>
      </c>
    </row>
    <row r="20" customFormat="false" ht="22.35" hidden="false" customHeight="false" outlineLevel="0" collapsed="false">
      <c r="A20" s="4" t="n">
        <v>14</v>
      </c>
      <c r="B20" s="5" t="n">
        <v>46082</v>
      </c>
      <c r="C20" s="4" t="s">
        <v>464</v>
      </c>
      <c r="D20" s="4" t="s">
        <v>960</v>
      </c>
      <c r="E20" s="4" t="s">
        <v>961</v>
      </c>
      <c r="F20" s="7"/>
      <c r="G20" s="6" t="n">
        <v>311.3</v>
      </c>
      <c r="H20" s="6" t="n">
        <v>138.44</v>
      </c>
      <c r="I20" s="7" t="n">
        <f aca="false">ROUND(H19+N(F20)-N(G20)-H20,2)</f>
        <v>0</v>
      </c>
      <c r="J20" s="4" t="s">
        <v>428</v>
      </c>
      <c r="K20" s="4"/>
      <c r="L20" s="4" t="s">
        <v>152</v>
      </c>
      <c r="M20" s="12" t="s">
        <v>429</v>
      </c>
      <c r="N20" s="4" t="s">
        <v>517</v>
      </c>
    </row>
    <row r="21" customFormat="false" ht="22.35" hidden="false" customHeight="false" outlineLevel="0" collapsed="false">
      <c r="A21" s="4" t="n">
        <v>15</v>
      </c>
      <c r="B21" s="5" t="n">
        <v>46085</v>
      </c>
      <c r="C21" s="4" t="s">
        <v>464</v>
      </c>
      <c r="D21" s="4" t="s">
        <v>634</v>
      </c>
      <c r="E21" s="4" t="s">
        <v>962</v>
      </c>
      <c r="F21" s="7"/>
      <c r="G21" s="6" t="n">
        <v>21.8</v>
      </c>
      <c r="H21" s="6" t="n">
        <v>116.64</v>
      </c>
      <c r="I21" s="7" t="n">
        <f aca="false">ROUND(H20+N(F21)-N(G21)-H21,2)</f>
        <v>0</v>
      </c>
      <c r="J21" s="4" t="s">
        <v>428</v>
      </c>
      <c r="K21" s="4"/>
      <c r="L21" s="4" t="s">
        <v>152</v>
      </c>
      <c r="M21" s="12" t="s">
        <v>429</v>
      </c>
      <c r="N21" s="4" t="s">
        <v>636</v>
      </c>
    </row>
    <row r="22" customFormat="false" ht="22.35" hidden="false" customHeight="false" outlineLevel="0" collapsed="false">
      <c r="A22" s="4" t="n">
        <v>16</v>
      </c>
      <c r="B22" s="5" t="n">
        <v>46092</v>
      </c>
      <c r="C22" s="4" t="s">
        <v>464</v>
      </c>
      <c r="D22" s="4" t="s">
        <v>678</v>
      </c>
      <c r="E22" s="4" t="s">
        <v>963</v>
      </c>
      <c r="F22" s="7"/>
      <c r="G22" s="6" t="n">
        <v>23.68</v>
      </c>
      <c r="H22" s="6" t="n">
        <v>92.96</v>
      </c>
      <c r="I22" s="7" t="n">
        <f aca="false">ROUND(H21+N(F22)-N(G22)-H22,2)</f>
        <v>0</v>
      </c>
      <c r="J22" s="4" t="s">
        <v>428</v>
      </c>
      <c r="K22" s="4"/>
      <c r="L22" s="4" t="s">
        <v>152</v>
      </c>
      <c r="M22" s="12" t="s">
        <v>429</v>
      </c>
      <c r="N22" s="4" t="s">
        <v>627</v>
      </c>
    </row>
    <row r="23" customFormat="false" ht="22.35" hidden="false" customHeight="false" outlineLevel="0" collapsed="false">
      <c r="A23" s="4" t="n">
        <v>17</v>
      </c>
      <c r="B23" s="5" t="n">
        <v>46098</v>
      </c>
      <c r="C23" s="4" t="s">
        <v>464</v>
      </c>
      <c r="D23" s="4" t="s">
        <v>964</v>
      </c>
      <c r="E23" s="4" t="s">
        <v>965</v>
      </c>
      <c r="F23" s="7"/>
      <c r="G23" s="6" t="n">
        <v>65.89</v>
      </c>
      <c r="H23" s="6" t="n">
        <v>27.07</v>
      </c>
      <c r="I23" s="7" t="n">
        <f aca="false">ROUND(H22+N(F23)-N(G23)-H23,2)</f>
        <v>0</v>
      </c>
      <c r="J23" s="4" t="s">
        <v>428</v>
      </c>
      <c r="K23" s="4"/>
      <c r="L23" s="4" t="s">
        <v>152</v>
      </c>
      <c r="M23" s="12" t="s">
        <v>429</v>
      </c>
      <c r="N23" s="4" t="s">
        <v>601</v>
      </c>
    </row>
    <row r="24" customFormat="false" ht="22.35" hidden="false" customHeight="false" outlineLevel="0" collapsed="false">
      <c r="A24" s="4" t="n">
        <v>18</v>
      </c>
      <c r="B24" s="5" t="n">
        <v>46100</v>
      </c>
      <c r="C24" s="4" t="s">
        <v>464</v>
      </c>
      <c r="D24" s="4" t="s">
        <v>622</v>
      </c>
      <c r="E24" s="4" t="s">
        <v>623</v>
      </c>
      <c r="F24" s="7"/>
      <c r="G24" s="6" t="n">
        <v>27.07</v>
      </c>
      <c r="H24" s="6" t="n">
        <v>0</v>
      </c>
      <c r="I24" s="7" t="n">
        <f aca="false">ROUND(H23+N(F24)-N(G24)-H24,2)</f>
        <v>0</v>
      </c>
      <c r="J24" s="4" t="s">
        <v>428</v>
      </c>
      <c r="K24" s="4"/>
      <c r="L24" s="4" t="s">
        <v>495</v>
      </c>
      <c r="M24" s="12" t="s">
        <v>429</v>
      </c>
      <c r="N24" s="4" t="s">
        <v>496</v>
      </c>
    </row>
    <row r="25" customFormat="false" ht="22.35" hidden="false" customHeight="false" outlineLevel="0" collapsed="false">
      <c r="A25" s="4" t="n">
        <v>19</v>
      </c>
      <c r="B25" s="5" t="n">
        <v>46118</v>
      </c>
      <c r="C25" s="4" t="s">
        <v>478</v>
      </c>
      <c r="D25" s="4" t="s">
        <v>643</v>
      </c>
      <c r="E25" s="4" t="s">
        <v>644</v>
      </c>
      <c r="F25" s="6" t="n">
        <v>1100</v>
      </c>
      <c r="G25" s="7"/>
      <c r="H25" s="6" t="n">
        <v>1100</v>
      </c>
      <c r="I25" s="7" t="n">
        <f aca="false">ROUND(H24+N(F25)-N(G25)-H25,2)</f>
        <v>0</v>
      </c>
      <c r="J25" s="4" t="s">
        <v>613</v>
      </c>
      <c r="K25" s="4" t="s">
        <v>966</v>
      </c>
      <c r="L25" s="4" t="s">
        <v>508</v>
      </c>
      <c r="M25" s="8" t="s">
        <v>423</v>
      </c>
      <c r="N25" s="4" t="s">
        <v>616</v>
      </c>
    </row>
    <row r="26" customFormat="false" ht="15" hidden="false" customHeight="false" outlineLevel="0" collapsed="false">
      <c r="A26" s="4" t="n">
        <v>20</v>
      </c>
      <c r="B26" s="5" t="n">
        <v>46118</v>
      </c>
      <c r="C26" s="4" t="s">
        <v>478</v>
      </c>
      <c r="D26" s="4" t="s">
        <v>967</v>
      </c>
      <c r="E26" s="4" t="s">
        <v>968</v>
      </c>
      <c r="F26" s="7"/>
      <c r="G26" s="6" t="n">
        <v>508.54</v>
      </c>
      <c r="H26" s="6" t="n">
        <v>591.46</v>
      </c>
      <c r="I26" s="7" t="n">
        <f aca="false">ROUND(H25+N(F26)-N(G26)-H26,2)</f>
        <v>0</v>
      </c>
      <c r="J26" s="4" t="s">
        <v>428</v>
      </c>
      <c r="K26" s="4"/>
      <c r="L26" s="4" t="s">
        <v>256</v>
      </c>
      <c r="M26" s="10" t="s">
        <v>60</v>
      </c>
      <c r="N26" s="4" t="s">
        <v>969</v>
      </c>
    </row>
    <row r="27" customFormat="false" ht="22.35" hidden="false" customHeight="false" outlineLevel="0" collapsed="false">
      <c r="A27" s="4" t="n">
        <v>21</v>
      </c>
      <c r="B27" s="5" t="n">
        <v>46123</v>
      </c>
      <c r="C27" s="4" t="s">
        <v>478</v>
      </c>
      <c r="D27" s="4" t="s">
        <v>678</v>
      </c>
      <c r="E27" s="4" t="s">
        <v>970</v>
      </c>
      <c r="F27" s="7"/>
      <c r="G27" s="6" t="n">
        <v>23.62</v>
      </c>
      <c r="H27" s="6" t="n">
        <v>567.84</v>
      </c>
      <c r="I27" s="7" t="n">
        <f aca="false">ROUND(H26+N(F27)-N(G27)-H27,2)</f>
        <v>0</v>
      </c>
      <c r="J27" s="4" t="s">
        <v>428</v>
      </c>
      <c r="K27" s="4"/>
      <c r="L27" s="4" t="s">
        <v>152</v>
      </c>
      <c r="M27" s="12" t="s">
        <v>429</v>
      </c>
      <c r="N27" s="4" t="s">
        <v>627</v>
      </c>
    </row>
    <row r="28" customFormat="false" ht="22.35" hidden="false" customHeight="false" outlineLevel="0" collapsed="false">
      <c r="A28" s="4" t="n">
        <v>22</v>
      </c>
      <c r="B28" s="5" t="n">
        <v>46129</v>
      </c>
      <c r="C28" s="4" t="s">
        <v>478</v>
      </c>
      <c r="D28" s="4" t="s">
        <v>971</v>
      </c>
      <c r="E28" s="4" t="s">
        <v>972</v>
      </c>
      <c r="F28" s="7"/>
      <c r="G28" s="6" t="n">
        <v>65.89</v>
      </c>
      <c r="H28" s="6" t="n">
        <v>501.95</v>
      </c>
      <c r="I28" s="7" t="n">
        <f aca="false">ROUND(H27+N(F28)-N(G28)-H28,2)</f>
        <v>0</v>
      </c>
      <c r="J28" s="4" t="s">
        <v>428</v>
      </c>
      <c r="K28" s="4"/>
      <c r="L28" s="4" t="s">
        <v>152</v>
      </c>
      <c r="M28" s="12" t="s">
        <v>429</v>
      </c>
      <c r="N28" s="4" t="s">
        <v>601</v>
      </c>
    </row>
    <row r="29" customFormat="false" ht="22.35" hidden="false" customHeight="false" outlineLevel="0" collapsed="false">
      <c r="A29" s="4" t="n">
        <v>23</v>
      </c>
      <c r="B29" s="5" t="n">
        <v>46131</v>
      </c>
      <c r="C29" s="4" t="s">
        <v>478</v>
      </c>
      <c r="D29" s="4" t="s">
        <v>973</v>
      </c>
      <c r="E29" s="4" t="s">
        <v>974</v>
      </c>
      <c r="F29" s="7"/>
      <c r="G29" s="6" t="n">
        <v>124.47</v>
      </c>
      <c r="H29" s="6" t="n">
        <v>377.48</v>
      </c>
      <c r="I29" s="7" t="n">
        <f aca="false">ROUND(H28+N(F29)-N(G29)-H29,2)</f>
        <v>0</v>
      </c>
      <c r="J29" s="4" t="s">
        <v>428</v>
      </c>
      <c r="K29" s="4"/>
      <c r="L29" s="4" t="s">
        <v>495</v>
      </c>
      <c r="M29" s="12" t="s">
        <v>429</v>
      </c>
      <c r="N29" s="4" t="s">
        <v>496</v>
      </c>
    </row>
    <row r="30" customFormat="false" ht="22.35" hidden="false" customHeight="false" outlineLevel="0" collapsed="false">
      <c r="A30" s="4" t="n">
        <v>24</v>
      </c>
      <c r="B30" s="5" t="n">
        <v>46133</v>
      </c>
      <c r="C30" s="4" t="s">
        <v>478</v>
      </c>
      <c r="D30" s="4" t="s">
        <v>608</v>
      </c>
      <c r="E30" s="4" t="s">
        <v>306</v>
      </c>
      <c r="F30" s="7"/>
      <c r="G30" s="6" t="n">
        <v>294.08</v>
      </c>
      <c r="H30" s="6" t="n">
        <v>83.4</v>
      </c>
      <c r="I30" s="7" t="n">
        <f aca="false">ROUND(H29+N(F30)-N(G30)-H30,2)</f>
        <v>0</v>
      </c>
      <c r="J30" s="4" t="s">
        <v>438</v>
      </c>
      <c r="K30" s="4" t="s">
        <v>975</v>
      </c>
      <c r="L30" s="4" t="s">
        <v>152</v>
      </c>
      <c r="M30" s="9" t="s">
        <v>440</v>
      </c>
      <c r="N30" s="4" t="s">
        <v>610</v>
      </c>
    </row>
    <row r="31" customFormat="false" ht="32.8" hidden="false" customHeight="false" outlineLevel="0" collapsed="false">
      <c r="A31" s="4" t="n">
        <v>25</v>
      </c>
      <c r="B31" s="5" t="n">
        <v>46133</v>
      </c>
      <c r="C31" s="4" t="s">
        <v>478</v>
      </c>
      <c r="D31" s="4" t="s">
        <v>652</v>
      </c>
      <c r="E31" s="4" t="s">
        <v>653</v>
      </c>
      <c r="F31" s="7"/>
      <c r="G31" s="6" t="n">
        <v>83.4</v>
      </c>
      <c r="H31" s="6" t="n">
        <v>0</v>
      </c>
      <c r="I31" s="7" t="n">
        <f aca="false">ROUND(H30+N(F31)-N(G31)-H31,2)</f>
        <v>0</v>
      </c>
      <c r="J31" s="4" t="s">
        <v>428</v>
      </c>
      <c r="K31" s="4"/>
      <c r="L31" s="4" t="s">
        <v>152</v>
      </c>
      <c r="M31" s="12" t="s">
        <v>429</v>
      </c>
      <c r="N31" s="4" t="s">
        <v>976</v>
      </c>
    </row>
    <row r="32" customFormat="false" ht="22.35" hidden="false" customHeight="false" outlineLevel="0" collapsed="false">
      <c r="A32" s="4" t="n">
        <v>26</v>
      </c>
      <c r="B32" s="5" t="n">
        <v>46134</v>
      </c>
      <c r="C32" s="4" t="s">
        <v>478</v>
      </c>
      <c r="D32" s="4" t="s">
        <v>977</v>
      </c>
      <c r="E32" s="4" t="s">
        <v>978</v>
      </c>
      <c r="F32" s="6" t="n">
        <v>495</v>
      </c>
      <c r="G32" s="7"/>
      <c r="H32" s="6" t="n">
        <v>495</v>
      </c>
      <c r="I32" s="7" t="n">
        <f aca="false">ROUND(H31+N(F32)-N(G32)-H32,2)</f>
        <v>0</v>
      </c>
      <c r="J32" s="4" t="s">
        <v>979</v>
      </c>
      <c r="K32" s="4" t="s">
        <v>980</v>
      </c>
      <c r="L32" s="4" t="s">
        <v>152</v>
      </c>
      <c r="M32" s="8" t="s">
        <v>423</v>
      </c>
      <c r="N32" s="4" t="s">
        <v>981</v>
      </c>
    </row>
    <row r="33" customFormat="false" ht="22.35" hidden="false" customHeight="false" outlineLevel="0" collapsed="false">
      <c r="A33" s="4" t="n">
        <v>27</v>
      </c>
      <c r="B33" s="5" t="n">
        <v>46138</v>
      </c>
      <c r="C33" s="4" t="s">
        <v>478</v>
      </c>
      <c r="D33" s="4" t="s">
        <v>625</v>
      </c>
      <c r="E33" s="4" t="s">
        <v>982</v>
      </c>
      <c r="F33" s="7"/>
      <c r="G33" s="6" t="n">
        <v>23.58</v>
      </c>
      <c r="H33" s="6" t="n">
        <v>471.42</v>
      </c>
      <c r="I33" s="7" t="n">
        <f aca="false">ROUND(H32+N(F33)-N(G33)-H33,2)</f>
        <v>0</v>
      </c>
      <c r="J33" s="4" t="s">
        <v>428</v>
      </c>
      <c r="K33" s="4"/>
      <c r="L33" s="4" t="s">
        <v>152</v>
      </c>
      <c r="M33" s="12" t="s">
        <v>429</v>
      </c>
      <c r="N33" s="4" t="s">
        <v>627</v>
      </c>
    </row>
    <row r="34" customFormat="false" ht="22.35" hidden="false" customHeight="false" outlineLevel="0" collapsed="false">
      <c r="A34" s="4" t="n">
        <v>28</v>
      </c>
      <c r="B34" s="5" t="n">
        <v>46138</v>
      </c>
      <c r="C34" s="4" t="s">
        <v>478</v>
      </c>
      <c r="D34" s="4" t="s">
        <v>983</v>
      </c>
      <c r="E34" s="4" t="s">
        <v>984</v>
      </c>
      <c r="F34" s="7"/>
      <c r="G34" s="6" t="n">
        <v>95.45</v>
      </c>
      <c r="H34" s="6" t="n">
        <v>375.97</v>
      </c>
      <c r="I34" s="7" t="n">
        <f aca="false">ROUND(H33+N(F34)-N(G34)-H34,2)</f>
        <v>0</v>
      </c>
      <c r="J34" s="4" t="s">
        <v>428</v>
      </c>
      <c r="K34" s="4"/>
      <c r="L34" s="4" t="s">
        <v>163</v>
      </c>
      <c r="M34" s="12" t="s">
        <v>429</v>
      </c>
      <c r="N34" s="4" t="s">
        <v>985</v>
      </c>
    </row>
    <row r="35" customFormat="false" ht="22.35" hidden="false" customHeight="false" outlineLevel="0" collapsed="false">
      <c r="A35" s="4" t="n">
        <v>29</v>
      </c>
      <c r="B35" s="5" t="n">
        <v>46139</v>
      </c>
      <c r="C35" s="4" t="s">
        <v>478</v>
      </c>
      <c r="D35" s="4" t="s">
        <v>986</v>
      </c>
      <c r="E35" s="4" t="s">
        <v>216</v>
      </c>
      <c r="F35" s="7"/>
      <c r="G35" s="6" t="n">
        <v>279</v>
      </c>
      <c r="H35" s="6" t="n">
        <v>96.97</v>
      </c>
      <c r="I35" s="7" t="n">
        <f aca="false">ROUND(H34+N(F35)-N(G35)-H35,2)</f>
        <v>0</v>
      </c>
      <c r="J35" s="4" t="s">
        <v>438</v>
      </c>
      <c r="K35" s="4" t="s">
        <v>987</v>
      </c>
      <c r="L35" s="4" t="s">
        <v>196</v>
      </c>
      <c r="M35" s="9" t="s">
        <v>440</v>
      </c>
      <c r="N35" s="4" t="s">
        <v>988</v>
      </c>
    </row>
    <row r="36" customFormat="false" ht="22.35" hidden="false" customHeight="false" outlineLevel="0" collapsed="false">
      <c r="A36" s="4" t="n">
        <v>30</v>
      </c>
      <c r="B36" s="5" t="n">
        <v>46139</v>
      </c>
      <c r="C36" s="4" t="s">
        <v>478</v>
      </c>
      <c r="D36" s="4" t="s">
        <v>625</v>
      </c>
      <c r="E36" s="4" t="s">
        <v>989</v>
      </c>
      <c r="F36" s="7"/>
      <c r="G36" s="6" t="n">
        <v>23.62</v>
      </c>
      <c r="H36" s="6" t="n">
        <v>73.35</v>
      </c>
      <c r="I36" s="7" t="n">
        <f aca="false">ROUND(H35+N(F36)-N(G36)-H36,2)</f>
        <v>0</v>
      </c>
      <c r="J36" s="4" t="s">
        <v>428</v>
      </c>
      <c r="K36" s="4"/>
      <c r="L36" s="4" t="s">
        <v>152</v>
      </c>
      <c r="M36" s="12" t="s">
        <v>429</v>
      </c>
      <c r="N36" s="4" t="s">
        <v>627</v>
      </c>
    </row>
    <row r="37" customFormat="false" ht="22.35" hidden="false" customHeight="false" outlineLevel="0" collapsed="false">
      <c r="A37" s="4" t="n">
        <v>31</v>
      </c>
      <c r="B37" s="5" t="n">
        <v>46143</v>
      </c>
      <c r="C37" s="4" t="s">
        <v>500</v>
      </c>
      <c r="D37" s="4" t="s">
        <v>669</v>
      </c>
      <c r="E37" s="4" t="s">
        <v>670</v>
      </c>
      <c r="F37" s="7"/>
      <c r="G37" s="6" t="n">
        <v>73.35</v>
      </c>
      <c r="H37" s="6" t="n">
        <v>0</v>
      </c>
      <c r="I37" s="7" t="n">
        <f aca="false">ROUND(H36+N(F37)-N(G37)-H37,2)</f>
        <v>0</v>
      </c>
      <c r="J37" s="4" t="s">
        <v>428</v>
      </c>
      <c r="K37" s="4"/>
      <c r="L37" s="4" t="s">
        <v>152</v>
      </c>
      <c r="M37" s="12" t="s">
        <v>429</v>
      </c>
      <c r="N37" s="4" t="s">
        <v>990</v>
      </c>
    </row>
    <row r="38" customFormat="false" ht="22.35" hidden="false" customHeight="false" outlineLevel="0" collapsed="false">
      <c r="A38" s="4" t="n">
        <v>32</v>
      </c>
      <c r="B38" s="5" t="n">
        <v>46155</v>
      </c>
      <c r="C38" s="4" t="s">
        <v>500</v>
      </c>
      <c r="D38" s="4" t="s">
        <v>680</v>
      </c>
      <c r="E38" s="4" t="s">
        <v>681</v>
      </c>
      <c r="F38" s="6" t="n">
        <v>520</v>
      </c>
      <c r="G38" s="7"/>
      <c r="H38" s="6" t="n">
        <v>520</v>
      </c>
      <c r="I38" s="7" t="n">
        <f aca="false">ROUND(H37+N(F38)-N(G38)-H38,2)</f>
        <v>0</v>
      </c>
      <c r="J38" s="4" t="s">
        <v>613</v>
      </c>
      <c r="K38" s="4" t="s">
        <v>991</v>
      </c>
      <c r="L38" s="4" t="s">
        <v>508</v>
      </c>
      <c r="M38" s="8" t="s">
        <v>423</v>
      </c>
      <c r="N38" s="4" t="s">
        <v>616</v>
      </c>
    </row>
    <row r="39" customFormat="false" ht="15" hidden="false" customHeight="false" outlineLevel="0" collapsed="false">
      <c r="A39" s="4" t="n">
        <v>33</v>
      </c>
      <c r="B39" s="5" t="n">
        <v>46155</v>
      </c>
      <c r="C39" s="4" t="s">
        <v>500</v>
      </c>
      <c r="D39" s="4" t="s">
        <v>783</v>
      </c>
      <c r="E39" s="4" t="s">
        <v>992</v>
      </c>
      <c r="F39" s="7"/>
      <c r="G39" s="6" t="n">
        <v>508.54</v>
      </c>
      <c r="H39" s="6" t="n">
        <v>11.46</v>
      </c>
      <c r="I39" s="7" t="n">
        <f aca="false">ROUND(H38+N(F39)-N(G39)-H39,2)</f>
        <v>0</v>
      </c>
      <c r="J39" s="4" t="s">
        <v>428</v>
      </c>
      <c r="K39" s="4"/>
      <c r="L39" s="4" t="s">
        <v>256</v>
      </c>
      <c r="M39" s="10" t="s">
        <v>60</v>
      </c>
      <c r="N39" s="4" t="s">
        <v>993</v>
      </c>
    </row>
    <row r="40" customFormat="false" ht="22.35" hidden="false" customHeight="false" outlineLevel="0" collapsed="false">
      <c r="A40" s="4" t="n">
        <v>34</v>
      </c>
      <c r="B40" s="5" t="n">
        <v>46155</v>
      </c>
      <c r="C40" s="4" t="s">
        <v>500</v>
      </c>
      <c r="D40" s="4" t="s">
        <v>673</v>
      </c>
      <c r="E40" s="4" t="s">
        <v>683</v>
      </c>
      <c r="F40" s="7"/>
      <c r="G40" s="6" t="n">
        <v>11.46</v>
      </c>
      <c r="H40" s="6" t="n">
        <v>0</v>
      </c>
      <c r="I40" s="7" t="n">
        <f aca="false">ROUND(H39+N(F40)-N(G40)-H40,2)</f>
        <v>0</v>
      </c>
      <c r="J40" s="4" t="s">
        <v>428</v>
      </c>
      <c r="K40" s="4"/>
      <c r="L40" s="4" t="s">
        <v>152</v>
      </c>
      <c r="M40" s="12" t="s">
        <v>429</v>
      </c>
      <c r="N40" s="4" t="s">
        <v>444</v>
      </c>
    </row>
    <row r="41" customFormat="false" ht="22.35" hidden="false" customHeight="false" outlineLevel="0" collapsed="false">
      <c r="D41" s="13" t="s">
        <v>553</v>
      </c>
      <c r="F41" s="14" t="n">
        <f aca="false">SUM(F7:F40)</f>
        <v>10308.62</v>
      </c>
      <c r="G41" s="14" t="n">
        <f aca="false">SUM(G7:G40)</f>
        <v>10308.62</v>
      </c>
      <c r="H41" s="14" t="n">
        <f aca="false">H6+F41-G41</f>
        <v>0</v>
      </c>
      <c r="I41" s="14" t="n">
        <f aca="false">ROUND(H41-H40,2)</f>
        <v>0</v>
      </c>
      <c r="J41" s="13" t="s">
        <v>554</v>
      </c>
      <c r="K41" s="15" t="n">
        <v>0</v>
      </c>
    </row>
  </sheetData>
  <autoFilter ref="A5:N40"/>
  <conditionalFormatting sqref="I7:I41">
    <cfRule type="cellIs" priority="2" operator="not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3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994</v>
      </c>
    </row>
    <row r="2" customFormat="false" ht="15" hidden="false" customHeight="false" outlineLevel="0" collapsed="false">
      <c r="A2" s="2" t="s">
        <v>995</v>
      </c>
    </row>
    <row r="4" customFormat="false" ht="42" hidden="false" customHeight="true" outlineLevel="0" collapsed="false">
      <c r="A4" s="3" t="s">
        <v>996</v>
      </c>
      <c r="B4" s="3" t="s">
        <v>407</v>
      </c>
      <c r="C4" s="3" t="s">
        <v>997</v>
      </c>
      <c r="D4" s="3" t="s">
        <v>998</v>
      </c>
      <c r="E4" s="3" t="s">
        <v>9</v>
      </c>
      <c r="F4" s="3" t="s">
        <v>999</v>
      </c>
      <c r="G4" s="3" t="s">
        <v>1000</v>
      </c>
      <c r="H4" s="3" t="s">
        <v>22</v>
      </c>
      <c r="I4" s="3" t="s">
        <v>1001</v>
      </c>
    </row>
    <row r="5" customFormat="false" ht="15" hidden="false" customHeight="true" outlineLevel="0" collapsed="false">
      <c r="A5" s="11" t="s">
        <v>1002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C6" s="4" t="s">
        <v>1003</v>
      </c>
      <c r="F6" s="16" t="n">
        <v>36443.8</v>
      </c>
      <c r="G6" s="4" t="s">
        <v>1004</v>
      </c>
    </row>
    <row r="7" customFormat="false" ht="22.35" hidden="false" customHeight="false" outlineLevel="0" collapsed="false">
      <c r="C7" s="4" t="s">
        <v>1005</v>
      </c>
      <c r="F7" s="16" t="n">
        <v>15897.61</v>
      </c>
      <c r="G7" s="4" t="s">
        <v>1006</v>
      </c>
    </row>
    <row r="8" customFormat="false" ht="22.35" hidden="false" customHeight="false" outlineLevel="0" collapsed="false">
      <c r="C8" s="4" t="s">
        <v>1007</v>
      </c>
      <c r="F8" s="17" t="n">
        <v>10</v>
      </c>
      <c r="G8" s="4" t="s">
        <v>1008</v>
      </c>
    </row>
    <row r="9" customFormat="false" ht="15" hidden="false" customHeight="false" outlineLevel="0" collapsed="false">
      <c r="C9" s="4" t="s">
        <v>1009</v>
      </c>
      <c r="F9" s="17" t="n">
        <v>9</v>
      </c>
      <c r="G9" s="4"/>
    </row>
    <row r="10" customFormat="false" ht="22.35" hidden="false" customHeight="false" outlineLevel="0" collapsed="false">
      <c r="C10" s="4" t="s">
        <v>1010</v>
      </c>
      <c r="F10" s="16" t="n">
        <v>1353.92</v>
      </c>
      <c r="G10" s="4" t="s">
        <v>1011</v>
      </c>
    </row>
    <row r="11" customFormat="false" ht="15" hidden="false" customHeight="false" outlineLevel="0" collapsed="false">
      <c r="C11" s="4" t="s">
        <v>1012</v>
      </c>
      <c r="F11" s="17" t="n">
        <v>6</v>
      </c>
      <c r="G11" s="4" t="s">
        <v>1013</v>
      </c>
    </row>
    <row r="12" customFormat="false" ht="15" hidden="false" customHeight="false" outlineLevel="0" collapsed="false">
      <c r="C12" s="4" t="s">
        <v>1014</v>
      </c>
      <c r="F12" s="16" t="n">
        <v>4004.87</v>
      </c>
      <c r="G12" s="4" t="s">
        <v>1015</v>
      </c>
    </row>
    <row r="13" customFormat="false" ht="22.35" hidden="false" customHeight="false" outlineLevel="0" collapsed="false">
      <c r="C13" s="4" t="s">
        <v>1016</v>
      </c>
      <c r="F13" s="16" t="n">
        <v>3682.94</v>
      </c>
      <c r="G13" s="4" t="s">
        <v>1017</v>
      </c>
    </row>
    <row r="14" customFormat="false" ht="22.35" hidden="false" customHeight="false" outlineLevel="0" collapsed="false">
      <c r="C14" s="4" t="s">
        <v>1018</v>
      </c>
      <c r="F14" s="16" t="n">
        <v>1900</v>
      </c>
      <c r="G14" s="4" t="s">
        <v>1019</v>
      </c>
    </row>
    <row r="15" customFormat="false" ht="22.35" hidden="false" customHeight="false" outlineLevel="0" collapsed="false">
      <c r="C15" s="4" t="s">
        <v>1020</v>
      </c>
      <c r="F15" s="17" t="n">
        <v>3</v>
      </c>
      <c r="G15" s="4" t="s">
        <v>1021</v>
      </c>
    </row>
    <row r="16" customFormat="false" ht="22.35" hidden="false" customHeight="false" outlineLevel="0" collapsed="false">
      <c r="C16" s="4" t="s">
        <v>1022</v>
      </c>
      <c r="F16" s="16" t="n">
        <v>231.28</v>
      </c>
      <c r="G16" s="4" t="s">
        <v>1023</v>
      </c>
    </row>
    <row r="18" customFormat="false" ht="15" hidden="false" customHeight="true" outlineLevel="0" collapsed="false">
      <c r="A18" s="11" t="s">
        <v>1024</v>
      </c>
      <c r="B18" s="11"/>
      <c r="C18" s="11"/>
      <c r="D18" s="11"/>
      <c r="E18" s="11"/>
      <c r="F18" s="11"/>
      <c r="G18" s="11"/>
      <c r="H18" s="11"/>
      <c r="I18" s="11"/>
    </row>
    <row r="19" customFormat="false" ht="22.35" hidden="false" customHeight="false" outlineLevel="0" collapsed="false">
      <c r="A19" s="4" t="s">
        <v>1025</v>
      </c>
      <c r="B19" s="5" t="n">
        <v>46295</v>
      </c>
      <c r="C19" s="4" t="s">
        <v>1026</v>
      </c>
      <c r="D19" s="4" t="s">
        <v>1027</v>
      </c>
      <c r="E19" s="4" t="s">
        <v>151</v>
      </c>
      <c r="F19" s="7" t="n">
        <f aca="false">ROUND($F$6/$F$8*$F$9/12,2)</f>
        <v>2733.29</v>
      </c>
      <c r="G19" s="4" t="s">
        <v>1028</v>
      </c>
      <c r="H19" s="12" t="s">
        <v>1029</v>
      </c>
      <c r="I19" s="4" t="s">
        <v>1030</v>
      </c>
    </row>
    <row r="20" customFormat="false" ht="32.8" hidden="false" customHeight="false" outlineLevel="0" collapsed="false">
      <c r="A20" s="4" t="s">
        <v>1031</v>
      </c>
      <c r="B20" s="5" t="n">
        <v>46295</v>
      </c>
      <c r="C20" s="4" t="s">
        <v>1026</v>
      </c>
      <c r="D20" s="4" t="s">
        <v>1027</v>
      </c>
      <c r="E20" s="4" t="s">
        <v>151</v>
      </c>
      <c r="F20" s="7" t="n">
        <f aca="false">ROUND($F$10/$F$8*$F$11/12,2)</f>
        <v>67.7</v>
      </c>
      <c r="G20" s="4" t="s">
        <v>1032</v>
      </c>
      <c r="H20" s="12" t="s">
        <v>1033</v>
      </c>
      <c r="I20" s="4" t="s">
        <v>1034</v>
      </c>
    </row>
    <row r="21" customFormat="false" ht="32.8" hidden="false" customHeight="false" outlineLevel="0" collapsed="false">
      <c r="A21" s="4" t="s">
        <v>1035</v>
      </c>
      <c r="B21" s="5" t="n">
        <v>46295</v>
      </c>
      <c r="C21" s="4" t="s">
        <v>1036</v>
      </c>
      <c r="D21" s="4" t="s">
        <v>1037</v>
      </c>
      <c r="E21" s="4" t="s">
        <v>28</v>
      </c>
      <c r="F21" s="7" t="n">
        <f aca="false">$F$16</f>
        <v>231.28</v>
      </c>
      <c r="G21" s="4" t="s">
        <v>1038</v>
      </c>
      <c r="H21" s="12" t="s">
        <v>1039</v>
      </c>
      <c r="I21" s="4" t="s">
        <v>1040</v>
      </c>
    </row>
    <row r="22" customFormat="false" ht="32.8" hidden="false" customHeight="false" outlineLevel="0" collapsed="false">
      <c r="A22" s="4" t="s">
        <v>1041</v>
      </c>
      <c r="B22" s="5" t="n">
        <v>46043</v>
      </c>
      <c r="C22" s="4" t="s">
        <v>1042</v>
      </c>
      <c r="D22" s="4" t="s">
        <v>928</v>
      </c>
      <c r="E22" s="4" t="s">
        <v>151</v>
      </c>
      <c r="F22" s="7" t="n">
        <f aca="false">ROUND($F$12-$F$13,2)</f>
        <v>321.93</v>
      </c>
      <c r="G22" s="4" t="s">
        <v>1043</v>
      </c>
      <c r="H22" s="10" t="s">
        <v>1044</v>
      </c>
      <c r="I22" s="4" t="s">
        <v>1045</v>
      </c>
    </row>
    <row r="23" customFormat="false" ht="22.35" hidden="false" customHeight="false" outlineLevel="0" collapsed="false">
      <c r="A23" s="4" t="s">
        <v>1046</v>
      </c>
      <c r="B23" s="5" t="n">
        <v>46295</v>
      </c>
      <c r="C23" s="4" t="s">
        <v>1047</v>
      </c>
      <c r="D23" s="4" t="s">
        <v>533</v>
      </c>
      <c r="E23" s="4" t="s">
        <v>153</v>
      </c>
      <c r="F23" s="7" t="n">
        <f aca="false">ROUND($F$14*(12-$F$15)/12,2)</f>
        <v>1425</v>
      </c>
      <c r="G23" s="4" t="s">
        <v>1048</v>
      </c>
      <c r="H23" s="12" t="s">
        <v>1049</v>
      </c>
      <c r="I23" s="4" t="s">
        <v>1050</v>
      </c>
    </row>
    <row r="24" customFormat="false" ht="22.35" hidden="false" customHeight="false" outlineLevel="0" collapsed="false">
      <c r="A24" s="4" t="s">
        <v>1051</v>
      </c>
      <c r="B24" s="5" t="n">
        <v>46273</v>
      </c>
      <c r="C24" s="4" t="s">
        <v>1052</v>
      </c>
      <c r="D24" s="4" t="s">
        <v>787</v>
      </c>
      <c r="E24" s="4" t="s">
        <v>28</v>
      </c>
      <c r="F24" s="6" t="n">
        <v>68.62</v>
      </c>
      <c r="G24" s="4" t="s">
        <v>1053</v>
      </c>
      <c r="H24" s="9" t="s">
        <v>1054</v>
      </c>
      <c r="I24" s="4" t="s">
        <v>1055</v>
      </c>
    </row>
    <row r="25" customFormat="false" ht="22.35" hidden="false" customHeight="false" outlineLevel="0" collapsed="false">
      <c r="A25" s="4" t="s">
        <v>1056</v>
      </c>
      <c r="B25" s="5" t="n">
        <v>46295</v>
      </c>
      <c r="C25" s="4" t="s">
        <v>1057</v>
      </c>
      <c r="D25" s="4" t="s">
        <v>1047</v>
      </c>
      <c r="E25" s="4" t="s">
        <v>151</v>
      </c>
      <c r="F25" s="6" t="n">
        <v>647.09</v>
      </c>
      <c r="G25" s="4" t="s">
        <v>1058</v>
      </c>
      <c r="H25" s="10" t="s">
        <v>1059</v>
      </c>
      <c r="I25" s="4" t="s">
        <v>1060</v>
      </c>
    </row>
    <row r="26" customFormat="false" ht="32.8" hidden="false" customHeight="false" outlineLevel="0" collapsed="false">
      <c r="A26" s="4" t="s">
        <v>1061</v>
      </c>
      <c r="B26" s="5" t="n">
        <v>46295</v>
      </c>
      <c r="C26" s="4" t="s">
        <v>1062</v>
      </c>
      <c r="D26" s="4" t="s">
        <v>1063</v>
      </c>
      <c r="E26" s="4" t="s">
        <v>151</v>
      </c>
      <c r="F26" s="7" t="s">
        <v>1064</v>
      </c>
      <c r="G26" s="4" t="s">
        <v>1065</v>
      </c>
      <c r="H26" s="10" t="s">
        <v>1066</v>
      </c>
      <c r="I26" s="4" t="s">
        <v>1067</v>
      </c>
    </row>
    <row r="27" customFormat="false" ht="22.35" hidden="false" customHeight="false" outlineLevel="0" collapsed="false">
      <c r="A27" s="4" t="s">
        <v>1068</v>
      </c>
      <c r="B27" s="5" t="n">
        <v>46295</v>
      </c>
      <c r="C27" s="4" t="s">
        <v>1069</v>
      </c>
      <c r="D27" s="4" t="s">
        <v>1070</v>
      </c>
      <c r="E27" s="4" t="s">
        <v>1071</v>
      </c>
      <c r="F27" s="7" t="s">
        <v>1072</v>
      </c>
      <c r="G27" s="4" t="s">
        <v>1073</v>
      </c>
      <c r="H27" s="9" t="s">
        <v>1054</v>
      </c>
      <c r="I27" s="4" t="s">
        <v>1074</v>
      </c>
    </row>
    <row r="28" customFormat="false" ht="53.7" hidden="false" customHeight="false" outlineLevel="0" collapsed="false">
      <c r="A28" s="4" t="s">
        <v>1075</v>
      </c>
      <c r="B28" s="5" t="n">
        <v>46295</v>
      </c>
      <c r="C28" s="4" t="s">
        <v>1076</v>
      </c>
      <c r="D28" s="4" t="s">
        <v>1077</v>
      </c>
      <c r="E28" s="4" t="s">
        <v>153</v>
      </c>
      <c r="F28" s="6" t="n">
        <v>0</v>
      </c>
      <c r="G28" s="4" t="s">
        <v>1078</v>
      </c>
      <c r="H28" s="8" t="s">
        <v>1079</v>
      </c>
      <c r="I28" s="4" t="s">
        <v>1080</v>
      </c>
    </row>
    <row r="29" customFormat="false" ht="22.35" hidden="false" customHeight="false" outlineLevel="0" collapsed="false">
      <c r="C29" s="13" t="s">
        <v>1081</v>
      </c>
      <c r="F29" s="14" t="n">
        <f aca="false">$F$6-$F$7-F19</f>
        <v>17812.9</v>
      </c>
    </row>
    <row r="31" customFormat="false" ht="15" hidden="false" customHeight="true" outlineLevel="0" collapsed="false">
      <c r="A31" s="11" t="s">
        <v>1082</v>
      </c>
      <c r="B31" s="11"/>
      <c r="C31" s="11"/>
      <c r="D31" s="11"/>
      <c r="E31" s="11"/>
      <c r="F31" s="11"/>
      <c r="G31" s="11"/>
      <c r="H31" s="11"/>
      <c r="I31" s="11"/>
    </row>
    <row r="32" customFormat="false" ht="27.75" hidden="false" customHeight="true" outlineLevel="0" collapsed="false">
      <c r="A32" s="4" t="s">
        <v>1083</v>
      </c>
      <c r="C32" s="4" t="s">
        <v>1084</v>
      </c>
      <c r="D32" s="4"/>
      <c r="E32" s="4"/>
      <c r="F32" s="4"/>
      <c r="G32" s="4"/>
      <c r="H32" s="4"/>
      <c r="I32" s="4"/>
    </row>
    <row r="33" customFormat="false" ht="27.75" hidden="false" customHeight="true" outlineLevel="0" collapsed="false">
      <c r="A33" s="4" t="s">
        <v>1085</v>
      </c>
      <c r="C33" s="4" t="s">
        <v>1086</v>
      </c>
      <c r="D33" s="4"/>
      <c r="E33" s="4"/>
      <c r="F33" s="4"/>
      <c r="G33" s="4"/>
      <c r="H33" s="4"/>
      <c r="I33" s="4"/>
    </row>
    <row r="34" customFormat="false" ht="27.75" hidden="false" customHeight="true" outlineLevel="0" collapsed="false">
      <c r="A34" s="4" t="s">
        <v>1087</v>
      </c>
      <c r="C34" s="4" t="s">
        <v>1088</v>
      </c>
      <c r="D34" s="4"/>
      <c r="E34" s="4"/>
      <c r="F34" s="4"/>
      <c r="G34" s="4"/>
      <c r="H34" s="4"/>
      <c r="I34" s="4"/>
    </row>
    <row r="35" customFormat="false" ht="27.75" hidden="false" customHeight="true" outlineLevel="0" collapsed="false">
      <c r="A35" s="4" t="s">
        <v>1089</v>
      </c>
      <c r="C35" s="4" t="s">
        <v>1090</v>
      </c>
      <c r="D35" s="4"/>
      <c r="E35" s="4"/>
      <c r="F35" s="4"/>
      <c r="G35" s="4"/>
      <c r="H35" s="4"/>
      <c r="I35" s="4"/>
    </row>
    <row r="36" customFormat="false" ht="27.75" hidden="false" customHeight="true" outlineLevel="0" collapsed="false">
      <c r="A36" s="4" t="s">
        <v>1091</v>
      </c>
      <c r="C36" s="4" t="s">
        <v>1092</v>
      </c>
      <c r="D36" s="4"/>
      <c r="E36" s="4"/>
      <c r="F36" s="4"/>
      <c r="G36" s="4"/>
      <c r="H36" s="4"/>
      <c r="I36" s="4"/>
    </row>
    <row r="37" customFormat="false" ht="27.75" hidden="false" customHeight="true" outlineLevel="0" collapsed="false">
      <c r="A37" s="4" t="s">
        <v>1093</v>
      </c>
      <c r="C37" s="4" t="s">
        <v>1094</v>
      </c>
      <c r="D37" s="4"/>
      <c r="E37" s="4"/>
      <c r="F37" s="4"/>
      <c r="G37" s="4"/>
      <c r="H37" s="4"/>
      <c r="I37" s="4"/>
    </row>
    <row r="38" customFormat="false" ht="27.75" hidden="false" customHeight="true" outlineLevel="0" collapsed="false">
      <c r="A38" s="4" t="s">
        <v>1095</v>
      </c>
      <c r="C38" s="4" t="s">
        <v>1096</v>
      </c>
      <c r="D38" s="4"/>
      <c r="E38" s="4"/>
      <c r="F38" s="4"/>
      <c r="G38" s="4"/>
      <c r="H38" s="4"/>
      <c r="I38" s="4"/>
    </row>
    <row r="39" customFormat="false" ht="27.75" hidden="false" customHeight="true" outlineLevel="0" collapsed="false">
      <c r="A39" s="4" t="s">
        <v>1097</v>
      </c>
      <c r="C39" s="4" t="s">
        <v>1098</v>
      </c>
      <c r="D39" s="4"/>
      <c r="E39" s="4"/>
      <c r="F39" s="4"/>
      <c r="G39" s="4"/>
      <c r="H39" s="4"/>
      <c r="I39" s="4"/>
    </row>
    <row r="40" customFormat="false" ht="27.75" hidden="false" customHeight="true" outlineLevel="0" collapsed="false">
      <c r="A40" s="4" t="s">
        <v>1099</v>
      </c>
      <c r="C40" s="4" t="s">
        <v>1100</v>
      </c>
      <c r="D40" s="4"/>
      <c r="E40" s="4"/>
      <c r="F40" s="4"/>
      <c r="G40" s="4"/>
      <c r="H40" s="4"/>
      <c r="I40" s="4"/>
    </row>
    <row r="41" customFormat="false" ht="27.75" hidden="false" customHeight="true" outlineLevel="0" collapsed="false">
      <c r="A41" s="4" t="s">
        <v>1101</v>
      </c>
      <c r="C41" s="4" t="s">
        <v>1102</v>
      </c>
      <c r="D41" s="4"/>
      <c r="E41" s="4"/>
      <c r="F41" s="4"/>
      <c r="G41" s="4"/>
      <c r="H41" s="4"/>
      <c r="I41" s="4"/>
    </row>
    <row r="42" customFormat="false" ht="27.75" hidden="false" customHeight="true" outlineLevel="0" collapsed="false">
      <c r="A42" s="4" t="s">
        <v>1103</v>
      </c>
      <c r="C42" s="4" t="s">
        <v>1104</v>
      </c>
      <c r="D42" s="4"/>
      <c r="E42" s="4"/>
      <c r="F42" s="4"/>
      <c r="G42" s="4"/>
      <c r="H42" s="4"/>
      <c r="I42" s="4"/>
    </row>
    <row r="43" customFormat="false" ht="27.75" hidden="false" customHeight="true" outlineLevel="0" collapsed="false">
      <c r="A43" s="4" t="s">
        <v>1105</v>
      </c>
      <c r="C43" s="4" t="s">
        <v>1106</v>
      </c>
      <c r="D43" s="4"/>
      <c r="E43" s="4"/>
      <c r="F43" s="4"/>
      <c r="G43" s="4"/>
      <c r="H43" s="4"/>
      <c r="I43" s="4"/>
    </row>
  </sheetData>
  <mergeCells count="15">
    <mergeCell ref="A5:I5"/>
    <mergeCell ref="A18:I18"/>
    <mergeCell ref="A31:I31"/>
    <mergeCell ref="C32:I32"/>
    <mergeCell ref="C33:I33"/>
    <mergeCell ref="C34:I34"/>
    <mergeCell ref="C35:I35"/>
    <mergeCell ref="C36:I36"/>
    <mergeCell ref="C37:I37"/>
    <mergeCell ref="C38:I38"/>
    <mergeCell ref="C39:I39"/>
    <mergeCell ref="C40:I40"/>
    <mergeCell ref="C41:I41"/>
    <mergeCell ref="C42:I42"/>
    <mergeCell ref="C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2026-10-08T13:38:59Z</dcterms:created>
  <dc:creator>openpyxl</dc:creator>
  <dc:description/>
  <dc:language>en-US</dc:language>
  <cp:lastModifiedBy/>
  <dcterms:modified xsi:type="dcterms:W3CDTF">2026-10-08T13:38:59Z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